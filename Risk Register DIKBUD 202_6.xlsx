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ski\Downloads\"/>
    </mc:Choice>
  </mc:AlternateContent>
  <bookViews>
    <workbookView xWindow="0" yWindow="0" windowWidth="24000" windowHeight="9075" tabRatio="921" firstSheet="7" activeTab="11"/>
  </bookViews>
  <sheets>
    <sheet name="Form 1. Kuesioner CEE" sheetId="1" r:id="rId1"/>
    <sheet name="Form 2 Kondisi kerentanan" sheetId="2" r:id="rId2"/>
    <sheet name="Form 4. Konteks Strategis" sheetId="3" r:id="rId3"/>
    <sheet name="Form 5 Penetapan Konteks Resiko" sheetId="4" r:id="rId4"/>
    <sheet name="Form 6 Penetapan Konteks Risiko" sheetId="5" r:id="rId5"/>
    <sheet name="Form 7 Konteks Risiko OPD" sheetId="6" r:id="rId6"/>
    <sheet name="Form 8 Konteks Risiko OPD" sheetId="7" r:id="rId7"/>
    <sheet name="Form 9 Analisis Risiko" sheetId="8" r:id="rId8"/>
    <sheet name="Matriks Risiko 5x5" sheetId="9" r:id="rId9"/>
    <sheet name="Form 10 Risiko Prioritas " sheetId="10" r:id="rId10"/>
    <sheet name="Form 11 RTP Lingkungan CEE, 11" sheetId="11" r:id="rId11"/>
    <sheet name="Form 12 RTP Pengendalian" sheetId="12" r:id="rId12"/>
  </sheets>
  <calcPr calcId="162913"/>
</workbook>
</file>

<file path=xl/calcChain.xml><?xml version="1.0" encoding="utf-8"?>
<calcChain xmlns="http://schemas.openxmlformats.org/spreadsheetml/2006/main">
  <c r="I42" i="1" l="1"/>
  <c r="I40" i="1"/>
  <c r="I39" i="1"/>
  <c r="I38" i="1"/>
  <c r="I37" i="1"/>
  <c r="I36" i="1"/>
  <c r="I35" i="1"/>
  <c r="I34" i="1"/>
  <c r="I32" i="1"/>
  <c r="I31" i="1"/>
  <c r="I30" i="1"/>
  <c r="I28" i="1"/>
  <c r="I27" i="1"/>
  <c r="I26" i="1"/>
  <c r="I25" i="1"/>
  <c r="I23" i="1"/>
  <c r="I22" i="1"/>
  <c r="I21" i="1"/>
  <c r="I20" i="1"/>
  <c r="I19" i="1"/>
  <c r="I18" i="1"/>
  <c r="I17" i="1"/>
  <c r="I16" i="1"/>
  <c r="I14" i="1"/>
  <c r="I13" i="1"/>
  <c r="I12" i="1"/>
  <c r="I11" i="1"/>
  <c r="I9" i="1"/>
  <c r="I8" i="1"/>
  <c r="I7" i="1"/>
  <c r="I6" i="1"/>
</calcChain>
</file>

<file path=xl/sharedStrings.xml><?xml version="1.0" encoding="utf-8"?>
<sst xmlns="http://schemas.openxmlformats.org/spreadsheetml/2006/main" count="1124" uniqueCount="590">
  <si>
    <t>KUESIONER CONTROL ENVIRONMENT EVALUATION (CEE)</t>
  </si>
  <si>
    <t>No.</t>
  </si>
  <si>
    <t>PERTANYAAN / KUESIONER</t>
  </si>
  <si>
    <t>JAWABAN RESPONDEN (*)</t>
  </si>
  <si>
    <t>Modus</t>
  </si>
  <si>
    <t>Kesimpulan
Kuesioner CEE</t>
  </si>
  <si>
    <t>R1</t>
  </si>
  <si>
    <t>R2</t>
  </si>
  <si>
    <t>R3</t>
  </si>
  <si>
    <t>R4</t>
  </si>
  <si>
    <t>R5</t>
  </si>
  <si>
    <t>R6</t>
  </si>
  <si>
    <t>A</t>
  </si>
  <si>
    <t>PENEGAKAN INTEGRITAS DAN NILAI ETIKA</t>
  </si>
  <si>
    <t>MEMADAI</t>
  </si>
  <si>
    <t>Pegawai Mendapatkan Pesan Integritas &amp; Nilai Etika secara rutin dari pimpinan instansi ( misalnya keteladanan, pesan moral dan dll)</t>
  </si>
  <si>
    <t>Memadai</t>
  </si>
  <si>
    <t>Pemda telah memiliki aturan prilaku misalnya kode Etik, Pakta Intergritas, dan aturan Prilaku pegawai yang telah dikomunikasikan kepada seluru pegawai.</t>
  </si>
  <si>
    <t>Telah terdapat Fungsi Khusus di dalam Instansi yang melayani pengaduan masyarakat atas pelanggaran aturan Prilaku /Kode Etik</t>
  </si>
  <si>
    <t>Pelanggaran aturan Prilaku/ Kode Etik yang telah di tindak lanjuti</t>
  </si>
  <si>
    <t>B</t>
  </si>
  <si>
    <t>KOMITMEN TERHADAP KOMPETENSI</t>
  </si>
  <si>
    <t>Standar terhadap Kompetensi setiap pegawai pesisi jabatan telah di tentukan</t>
  </si>
  <si>
    <t>Kurang memadai</t>
  </si>
  <si>
    <t>Pegawai yang Kompoten telah secara tepat pengisi pesisi secara / jabatan</t>
  </si>
  <si>
    <t>Pemda telah memiliki dan menerapkan strategi peningkatan Kompetensi Pegawai</t>
  </si>
  <si>
    <t>Terdapat pelatihan terkait pengelolaan risiko, baik pelatihan Khusus maupun pelatihan terintegrasi secara berkala</t>
  </si>
  <si>
    <t>C</t>
  </si>
  <si>
    <t>KEPEMIMPINAN YANG KONDUSIP</t>
  </si>
  <si>
    <t>KURANG MEMADAI</t>
  </si>
  <si>
    <t>Pimpinan telah menetapkan kebijakan pengelolaan Risiko yang memberikan kejelasan arah pengelolaan risiko</t>
  </si>
  <si>
    <t>Pimpinan menerapkan pengelolaan risiko dan pengendalian dalam pelaksanaan tugas dan pengambilan keputusan,</t>
  </si>
  <si>
    <t>Pimpinan pembangunan Komunikasi yang baik dengan Anggota organisasi utuk mengungkapkan risiko dan secara terbuka menerima/ mengali pelaporan risiko</t>
  </si>
  <si>
    <t>Gaya pimpinan dapat mendorong pegawai untuk peningkatan kinerja</t>
  </si>
  <si>
    <t>Pimpinan menetapkan sasaran strategis yang selaras</t>
  </si>
  <si>
    <t>Rencana/ sasaran strategis pemda telah dijabarkan kedam sasaran OPD dan tingkat oprasional OPD</t>
  </si>
  <si>
    <t>Rencana strategis dan rencana kerja pemda telah menyajikan inpormasi mengenai risiko</t>
  </si>
  <si>
    <t>Pimpinan berperan serta dan mengikutsertakan pejabat dan pegawai terkait dalam proses pengelolaan risiko</t>
  </si>
  <si>
    <t>D</t>
  </si>
  <si>
    <t>PEMBENTUKAN STRUKTUR ORGANISASI YANG SESUAI KEBUTUHAN</t>
  </si>
  <si>
    <t>Setiap urusan telah di laksanakan OPDdan unit kerja yang tepat</t>
  </si>
  <si>
    <t>Masing masing pihak dalam organisasi telah memperoleh dan memahami peran dan tanggungjawab masing masing pengelolaan risiko</t>
  </si>
  <si>
    <t>Pegawai yang bertugas di OPD merupakan pegawai tetatap dan bukan pegawai yang bersifat adhoc ( sementara)</t>
  </si>
  <si>
    <t>Adanya transparansi dan ketepatan waktu pelaporan pelaksana peran dan tanggung jawab masing masing pengelolaan resiko.</t>
  </si>
  <si>
    <t>E</t>
  </si>
  <si>
    <t>PENDELEGASIAN WEWENANG DAN TANGGUNG JAWAB YANG TEPAT.</t>
  </si>
  <si>
    <t>kriterial pendelegasian wewenang telah di tentukan tepat</t>
  </si>
  <si>
    <t>Penelegasian wewenang dan tanggungjawab di laksanakan secara tepat</t>
  </si>
  <si>
    <t>Kemenangan direview secara periodik</t>
  </si>
  <si>
    <t>F</t>
  </si>
  <si>
    <t>PENYUSUNAN DAN PENERAPAN YANG SEHAT TENTANG PEMBINAAN SUMBER DAYA MANUSIA</t>
  </si>
  <si>
    <t>Pemda telah memiliki kebijakan dan persedur pengololaan SDM yang lengkap sejak rekrutmen sampai dengan pemberentian pegawai.</t>
  </si>
  <si>
    <t>Rekrutmen retensi mutasi maupun promosi pemilihan SDM telah di lakukan yang baik.</t>
  </si>
  <si>
    <t>Insentif pegawai telah sesuai dengan tangungjawab kinerja</t>
  </si>
  <si>
    <t>Pemda telah menginternalisasi budaya sadar risiko</t>
  </si>
  <si>
    <t>Adanya pemberian reward atau punishmen atas pengelolaan risiko(missal mempertimbangkan tanggungjawab pengelolaan risiko dalam penilaian kinerja.</t>
  </si>
  <si>
    <t>Terdapat evaluasi kinerja pegawai yang telah di pertimbangkan dalam perhitungan penghasilan.</t>
  </si>
  <si>
    <t>Intansi telah mengalokasikan anggaran yang memadai untuk pengembangan SDM</t>
  </si>
  <si>
    <t>G</t>
  </si>
  <si>
    <t>PERWUJUDAN PERAN APARAT PENGAWASAN INTEREN PEMERINTAHYANG EPEKTIF</t>
  </si>
  <si>
    <t>Inspektorat daerah melakukan revew atas epesiensi/ epektipitas pelaksanaan setiap urusan program secara periodik</t>
  </si>
  <si>
    <t>Keterangan:</t>
  </si>
  <si>
    <t>Kolom C diisi dengan jawaban responden :</t>
  </si>
  <si>
    <t>Keterangan jawaban :</t>
  </si>
  <si>
    <t>1.Tidak setuju/belum ada/belum dibangun</t>
  </si>
  <si>
    <t>2.Kurang setuju/telah dibangun/dibangun namun diterapkan belum konsisten</t>
  </si>
  <si>
    <t>3.Setuju/atau sudah dibangun diterapkan dengan baik namun masih bias ditingkatkan</t>
  </si>
  <si>
    <t>4.Sangat setuju/sudah dibangun atau diterapkan dengan baik dan ditularkan kepada organisasi lain</t>
  </si>
  <si>
    <t>Kolom d diisi dengan simpulan hasil penilaian lingkungan pengendalian tiap pertanyaan dan kesimpulan tiap sub</t>
  </si>
  <si>
    <t>unsur lingkungan pengendalian</t>
  </si>
  <si>
    <t>Misal:</t>
  </si>
  <si>
    <t>Kesimpulan setiap pertanyaan :</t>
  </si>
  <si>
    <t>Memadai Apabila modus jawaban responden adalah 3 atau 4 dan "kurang memadai " apabila modus jawaban</t>
  </si>
  <si>
    <t>responden adalah 1 atau 2</t>
  </si>
  <si>
    <t>Kesimpulan sub unsur lingkungan pengendalian "memadai apabila seluruh kesimpulan tiap pertanyaan pada sub</t>
  </si>
  <si>
    <t>unsur tersebut telah "memadai, dan "kurang memadai" apabila terdapat simpulan pertanyaan pada sub unsur tersebut</t>
  </si>
  <si>
    <t>yang "kurang memada</t>
  </si>
  <si>
    <t>Kondisi kerentanan Lingkungan pengendalian intern</t>
  </si>
  <si>
    <t>Nama Pemda</t>
  </si>
  <si>
    <t>: Pemerintah Kabupaten Pohuwato</t>
  </si>
  <si>
    <t>Tahun Penilaian</t>
  </si>
  <si>
    <t>: 2026</t>
  </si>
  <si>
    <t>Urusan pemerintahan</t>
  </si>
  <si>
    <t>: Urusan Wajib Pelayanan dasar Bidang Pendidikan</t>
  </si>
  <si>
    <t>No</t>
  </si>
  <si>
    <t>Sumber Data</t>
  </si>
  <si>
    <t>Uraian Kelemahan</t>
  </si>
  <si>
    <t>Uraian Kekuatan</t>
  </si>
  <si>
    <t>Klasifikasi</t>
  </si>
  <si>
    <t>Media Massa &amp; Evaluasi Internal</t>
  </si>
  <si>
    <t>Masih terjadi permasalahan tata kelola dan disiplin di beberapa satuan pendidikan</t>
  </si>
  <si>
    <t>Telah ada sosialisasi pakta integritas dan aturan kode etik pegawai</t>
  </si>
  <si>
    <t>Penegakan integritas dan nilai etika</t>
  </si>
  <si>
    <t>Hasil Kuesioner CEE &amp; LHP BPK</t>
  </si>
  <si>
    <t>Kapasitas dan pemahaman operator/bendahara sekolah terkait BOSP &amp; pajak SPJ belum seragam; standar kompetensi posisi jabatan belum sepenuhnya ditentukan</t>
  </si>
  <si>
    <t>Pegawai yang kompeten secara umum telah mengisi posisi/jabatan sesuai struktur</t>
  </si>
  <si>
    <t>Komitmen terhadap kompetensi</t>
  </si>
  <si>
    <t>Kebijakan pengelolaan risiko belum ditetapkan formal; informasi risiko belum tersaji dalam Renstra/Renja; alokasi operasional SAKIP &amp; Cagar Budaya Rp 0</t>
  </si>
  <si>
    <t>Pimpinan aktif membangun komunikasi dan mendorong peningkatan kinerja organisasi</t>
  </si>
  <si>
    <t>Kepemimpinan yang kondusif</t>
  </si>
  <si>
    <t>Hasil Kuesioner CEE &amp; Kepegawaian</t>
  </si>
  <si>
    <t>Pemberian reward/punishment terkait risiko belum berjalan; evaluasi kinerja belum optimal dipertimbangkan dalam penghasilan; redistribusi guru belum berbasis data spasial</t>
  </si>
  <si>
    <t>Prosedur pengelolaan SDM dari rekrutmen hingga purnatugas telah tersedia</t>
  </si>
  <si>
    <t>Penyusunan dan penerapan yang sehat tentang pembinaan SDM</t>
  </si>
  <si>
    <t>PENETAPAN KONTEKS RISIKO STRATEGIS OPD</t>
  </si>
  <si>
    <t>Parameter Konteks</t>
  </si>
  <si>
    <t>Uraian Penetapan Konteks Risiko Strategis</t>
  </si>
  <si>
    <t>: Kabupaten Pohuwato</t>
  </si>
  <si>
    <t>Periode yang dinilai</t>
  </si>
  <si>
    <t>: 2025-2029</t>
  </si>
  <si>
    <t>Urusan Pemerintahan</t>
  </si>
  <si>
    <t>: Urusan Wajib (Pendidikan dan Kebudayaan)</t>
  </si>
  <si>
    <t>OPD yang Dinilai</t>
  </si>
  <si>
    <t>: Dinas Pendidikan dan Kebudayaan Kab. Pohuwato</t>
  </si>
  <si>
    <t>: Renstra &amp; DPA Dinas Pendidikan dan Kebudayaan Kabupaten Pohuwato TA 2026</t>
  </si>
  <si>
    <t>Tujuan Strategis</t>
  </si>
  <si>
    <t>: Meningkatnya intelektualitas dan karakter anak usia sekolah serta terwujudnya kebudayaan maju</t>
  </si>
  <si>
    <t>Sasaran Strategis</t>
  </si>
  <si>
    <t>1. Meningkatnya Intelektualitas dan karakter anak usia sekolah
2. Terwujudnya berkebudayaan maju</t>
  </si>
  <si>
    <t>IKU Renstra OPD</t>
  </si>
  <si>
    <t>IKU</t>
  </si>
  <si>
    <t>Rata-rata Lama Sekolah</t>
  </si>
  <si>
    <t>Harapan Lama Sekolah</t>
  </si>
  <si>
    <t>Indeks Pembangunan Kebudayaan</t>
  </si>
  <si>
    <t>Capaian SPM Pendidikan</t>
  </si>
  <si>
    <t>Angka Anak Tidak Sekolah (ATS)</t>
  </si>
  <si>
    <t>Persentase Siswa Miskin Penerima Bantuan Seragam dan Perlengkapan Sekolah</t>
  </si>
  <si>
    <t>Persentase Capaian Literasi</t>
  </si>
  <si>
    <t>Persentase Capaian Numerasi</t>
  </si>
  <si>
    <t xml:space="preserve">Angka Kesiapan sekolah </t>
  </si>
  <si>
    <t>Indeks Fasilitas Satuan Pendidikan</t>
  </si>
  <si>
    <t>Proporsi peningkatan Fasilitas Kebudayaan</t>
  </si>
  <si>
    <t>Persentase Peningkatan Partisipasi Masyarakat</t>
  </si>
  <si>
    <t>Informasi Lain (Tujuan, Sasaran, IKU yang dinilai)</t>
  </si>
  <si>
    <t>Tujuan :</t>
  </si>
  <si>
    <t>Meningkatnya intelektualitas dan karakter anak usia sekolah serta terwujudnya kebudayaan maju</t>
  </si>
  <si>
    <t>Sasaran :</t>
  </si>
  <si>
    <t>1. Meningkatnya Intelektualitas dan karakter anak usia sekolah</t>
  </si>
  <si>
    <t>2. Terwujudnya berkebudayaan maju</t>
  </si>
  <si>
    <t>PENETAPAN KONTEKS RISIKO OPERASIONAL OPD (22 SUB KEGIATAN DPA TA 2026)</t>
  </si>
  <si>
    <t xml:space="preserve">: Januari - Desember </t>
  </si>
  <si>
    <t>Program Dinas Pendidikan dan Kebudayaan (DPA 2026) &amp; Sub Kegiatan</t>
  </si>
  <si>
    <t>Target Keluaran / Output Kegiatan</t>
  </si>
  <si>
    <t>Pagu DPA TA 2026 (Rp)</t>
  </si>
  <si>
    <t>I</t>
  </si>
  <si>
    <t>PROGRAM PENUNJANG URUSAN PEMERINTAHAN DAERAH KABUPATEN/KOTA (SEKRETARIAT)</t>
  </si>
  <si>
    <t>1</t>
  </si>
  <si>
    <t>Penyediaan Gaji dan Tunjangan ASN (1.01.01.2.02.0001)</t>
  </si>
  <si>
    <t>12 Bulan Gaji &amp; Tunjangan ASN/PPPK Dikbud</t>
  </si>
  <si>
    <t>2</t>
  </si>
  <si>
    <t>Penyediaan Jasa Komunikasi, Air, Listrik &amp; Pelayanan Umum (1.01.01.2.08.0002)</t>
  </si>
  <si>
    <t>12 Bulan Tagihan Listrik, Air, Internet Kantor</t>
  </si>
  <si>
    <t>3</t>
  </si>
  <si>
    <t>Penyelenggaraan Rapat Koordinasi dan Konsultasi SKPD (1.01.01.2.06.0009)</t>
  </si>
  <si>
    <t>12 Bulan Fasilitasi Koordinasi Kedinasan</t>
  </si>
  <si>
    <t>4</t>
  </si>
  <si>
    <t>Jasa Pemeliharaan, Pajak &amp; Perizinan Ranmor Dinas (1.01.01.2.09.0002)</t>
  </si>
  <si>
    <t>Pemeliharaan &amp; PKB Kendaraan Operasional Lapangan</t>
  </si>
  <si>
    <t>5</t>
  </si>
  <si>
    <t>Sosialisasi Peraturan Perundang-Undangan ASN (1.01.01.2.05.0010)</t>
  </si>
  <si>
    <t>Sosialisasi Netralitas &amp; Disiplin ASN (1 kegiatan)</t>
  </si>
  <si>
    <t>6</t>
  </si>
  <si>
    <t>Pemeliharaan/Rehabilitasi Gedung Kantor (1.01.01.2.09.0009)</t>
  </si>
  <si>
    <t>Pemeliharaan Rutin / Rehab Atap Kantor Dinas</t>
  </si>
  <si>
    <t>7</t>
  </si>
  <si>
    <t>Penyusunan Pelaporan Capaian Kinerja (SAKIP) (1.01.01.2.01.0006/7)</t>
  </si>
  <si>
    <t>Dokumen LAKIP, SAKIP, dan Evaluasi Renja (4 laporan)</t>
  </si>
  <si>
    <t>II</t>
  </si>
  <si>
    <t>PROGRAM PENGELOLAAN PENDIDIKAN (BIDANG DIKDAS &amp; BIDANG PAUD/DIKMAS)</t>
  </si>
  <si>
    <t>8</t>
  </si>
  <si>
    <t>Pengelolaan Dana BOS SD (Operasi &amp; Belanja Modal Rp 5,19 M) (1.01.02.2.01.0029)</t>
  </si>
  <si>
    <t>Penyaluran BOSP &amp; Sarana Modal di 129 SD</t>
  </si>
  <si>
    <t>9</t>
  </si>
  <si>
    <t>Pengelolaan Dana BOS SMP (Operasi &amp; Belanja Modal Rp 1,77 M) (1.01.02.2.02.0042)</t>
  </si>
  <si>
    <t>Penyaluran BOSP &amp; Sarana Modal 45 SMP</t>
  </si>
  <si>
    <t>10</t>
  </si>
  <si>
    <t>Pengelolaan Dana BOP PAUD (1.01.02.2.03.0018)</t>
  </si>
  <si>
    <t>Penyaluran Dana BOP ke Satuan PAUD Se-Kabupaten</t>
  </si>
  <si>
    <t>11</t>
  </si>
  <si>
    <t>Pengelolaan Dana BOP Sekolah Nonformal/Kesetaraan (1.01.02.2.04.0017)</t>
  </si>
  <si>
    <t>Penyaluran BOP Warga Belajar Paket A, B, C</t>
  </si>
  <si>
    <t>12</t>
  </si>
  <si>
    <t>Pengembangan Karir Pendidik &amp; Tenaga Kependidikan SMP (1.01.02.2.02.0040)</t>
  </si>
  <si>
    <t>Bimtek Peningkatan Kompetensi Guru SMP</t>
  </si>
  <si>
    <t>13</t>
  </si>
  <si>
    <t>Pembinaan Kelembagaan dan Manajemen PAUD (1.01.02.2.03.0017)</t>
  </si>
  <si>
    <t>Pendampingan Akreditasi &amp; Kelayakan PAUD</t>
  </si>
  <si>
    <t>14</t>
  </si>
  <si>
    <t>Pembinaan Kelembagaan dan Manajemen Sekolah Dasar (1.01.02.2.01.0028)</t>
  </si>
  <si>
    <t>Penguatan Manajemen Berbasis Sekolah (MBS) SD</t>
  </si>
  <si>
    <t>15</t>
  </si>
  <si>
    <t>Pembinaan Minat, Bakat Siswa SD (OSN, O2SN, FLS2N) (1.01.02.2.01.0025)</t>
  </si>
  <si>
    <t>Seleksi Talenta SD Tingkat Kabupaten</t>
  </si>
  <si>
    <t>16</t>
  </si>
  <si>
    <t>Peningkatan Kapasitas Pengelolaan BOP PAUD (1.01.02.2.03.0019)</t>
  </si>
  <si>
    <t>Bimtek Bendahara &amp; Pengelola BOP PAUD</t>
  </si>
  <si>
    <t>17</t>
  </si>
  <si>
    <t>Supervisi dan Evaluasi Layanan Bidang PAUD (1.01.02.2.03.0025)</t>
  </si>
  <si>
    <t>Supervisi Transisi PAUD-SD Menyenangkan</t>
  </si>
  <si>
    <t>18</t>
  </si>
  <si>
    <t>Supervisi &amp; Evaluasi Pendidikan Nonformal/Kesetaraan (1.01.02.2.04.0027)</t>
  </si>
  <si>
    <t>Monev Keaktifan Warga Belajar &amp; PKBM</t>
  </si>
  <si>
    <t>19</t>
  </si>
  <si>
    <t>Pembinaan Minat, Bakat dan Kreativitas Siswa SMP (1.01.02.2.02.0038)</t>
  </si>
  <si>
    <t>Seleksi Ajang Bakat/Lomba Siswa Jenjang SMP</t>
  </si>
  <si>
    <t>III</t>
  </si>
  <si>
    <t>PROGRAM PENDIDIK DAN TENAGA KEPENDIDIKAN (BIDANG PEMBINAAN GTK)</t>
  </si>
  <si>
    <t>20</t>
  </si>
  <si>
    <t>Perhitungan &amp; Pemetaan Pendidik &amp; Tenaga Kependidikan (1.01.04.2.01.0001)</t>
  </si>
  <si>
    <t>Dokumen Analisis Beban Kerja (ABK) &amp; Peta Guru</t>
  </si>
  <si>
    <t>IV</t>
  </si>
  <si>
    <t>PROGRAM PENGEMBANGAN KEBUDAYAAN (BIDANG KEBUDAYAAN)</t>
  </si>
  <si>
    <t>21</t>
  </si>
  <si>
    <t>Pelindungan, Pengembangan Objek Pemajuan Kebudayaan (1.02.02.2.01.0001)</t>
  </si>
  <si>
    <t>Pagelaran Festival Seni Budaya Daerah &amp; Juknis OPK</t>
  </si>
  <si>
    <t>22</t>
  </si>
  <si>
    <t>Pendaftaran Objek Diduga Cagar Budaya (ODCB) (1.02.05.2.01.0001)</t>
  </si>
  <si>
    <t>Registrasi &amp; Kajian Lapangan Cagar Budaya</t>
  </si>
  <si>
    <t>TOTAL DPA DINAS PENDIDIKAN DAN KEBUDAYAAN TA 2026</t>
  </si>
  <si>
    <t>Rp 240.506.297.552</t>
  </si>
  <si>
    <t>PENETAPAN KONTEKS RISIKO STRATEGIS PEMDA</t>
  </si>
  <si>
    <t>: Periode RPJMD Tahun 2025-2029</t>
  </si>
  <si>
    <t>: Urusan Wajib Pelayanan Dasar Bidang Pendidikan</t>
  </si>
  <si>
    <t>Tujuan / Sasaran Strategis</t>
  </si>
  <si>
    <t>Indikator Kinerja</t>
  </si>
  <si>
    <t>Uraian</t>
  </si>
  <si>
    <t>Kode</t>
  </si>
  <si>
    <t>Pemilik</t>
  </si>
  <si>
    <t>Sumber</t>
  </si>
  <si>
    <t>C / UC</t>
  </si>
  <si>
    <t>Pihak yang Terdampak</t>
  </si>
  <si>
    <t>H</t>
  </si>
  <si>
    <t>J</t>
  </si>
  <si>
    <t>K</t>
  </si>
  <si>
    <t>Tujuan Strategis Pemda 1 : Meningkatkan derajat kesehatan dan pendidikan serta generasi unggul masyarakat Pohuwato</t>
  </si>
  <si>
    <t>Pemenuhan hak &amp; belanja pegawai ASN/PPPK Dikbud</t>
  </si>
  <si>
    <t>Ketepatan bayar gaji ASN (100%)</t>
  </si>
  <si>
    <t>Keterlambatan pembayaran atau kekeliruan perhitungan gaji &amp; tunjangan ASN/PPPK</t>
  </si>
  <si>
    <t>RSK-DPA-SEKR-001</t>
  </si>
  <si>
    <t>Sekretaris Dinas</t>
  </si>
  <si>
    <t>Keterlambatan pemutakhiran data SIMGAJI/BPKAD dan pengesahan SPD bulanan</t>
  </si>
  <si>
    <t>Internal</t>
  </si>
  <si>
    <t>Keresahan ASN/PPPK, demotivasi kinerja, deviasi serapan anggaran</t>
  </si>
  <si>
    <t>Seluruh Guru PNS/PPPK &amp; ASN</t>
  </si>
  <si>
    <t>Peningkatan mutu &amp; operasional satuan Sekolah Dasar</t>
  </si>
  <si>
    <t>Kepatuhan realisasi BOSP SD (100%)</t>
  </si>
  <si>
    <t>Keterlambatan penyaluran BOSP SD dan belanja modal Rp 5,19 M berisiko gagal serap</t>
  </si>
  <si>
    <t>RSK-DPA-DIKDAS-002</t>
  </si>
  <si>
    <t>Kabid Pembinaan Dikdas</t>
  </si>
  <si>
    <t>Keterlambatan input &amp; pengesahan RKAS di ARKAS oleh sekolah serta SPJ lambat</t>
  </si>
  <si>
    <t>Operasional 129 SD terganggu; pemblokiran otomatis rekening oleh Kemendikbud</t>
  </si>
  <si>
    <t>Satuan SD Se-Kab. Pohuwato</t>
  </si>
  <si>
    <t>Peningkatan fasilitas &amp; akuntabilitas belanja SMP</t>
  </si>
  <si>
    <t>Kepatuhan realisasi modal SMP &amp; nihil temuan</t>
  </si>
  <si>
    <t>Keterlambatan realisasi belanja modal sarana SMP Rp 1,77 M &amp; risiko pajak SPJ</t>
  </si>
  <si>
    <t>RSK-DPA-DIKDAS-003</t>
  </si>
  <si>
    <t>Kapasitas tim ARKAS SMP belum seragam dan lambatnya rekonsiliasi aset dinas</t>
  </si>
  <si>
    <t>Pengadaan sarana SMP tertunda; risiko temuan audit BPK RI</t>
  </si>
  <si>
    <t>Satuan SMP Pohuwato</t>
  </si>
  <si>
    <t>Pemerataan akses layanan PAUD bermutu</t>
  </si>
  <si>
    <t>Persentase PAUD tertib salur BOP (100%)</t>
  </si>
  <si>
    <t>Keterlambatan penyaluran BOP akibat rekening bermasalah &amp; lambatnya SPJ</t>
  </si>
  <si>
    <t>RSK-DPA-PAUD-004</t>
  </si>
  <si>
    <t>Kabid PAUD &amp; Dikmas</t>
  </si>
  <si>
    <t>Lembaga PAUD dikelola tenaga paruh waktu; sinkronisasi Dapodik lambat</t>
  </si>
  <si>
    <t>KBM PAUD terganggu, honor guru tertunda dibayarkan, serapan jeblok</t>
  </si>
  <si>
    <t>Lembaga PAUD &amp; Pendidik</t>
  </si>
  <si>
    <t>Pemerataan distribusi dan mutu pendidik</t>
  </si>
  <si>
    <t>Rasio pemerataan guru per kecamatan</t>
  </si>
  <si>
    <t>Data ABK tidak akurat &amp; penolakan guru terhadap kebijakan mutasi</t>
  </si>
  <si>
    <t>RSK-DPA-GTK-014</t>
  </si>
  <si>
    <t>Kabid Ketenagaan (GTK)</t>
  </si>
  <si>
    <t>Sekolah terlambat sinkronisasi Dapodik; resistensi guru dipindahtugaskan</t>
  </si>
  <si>
    <t>Disparitas guru di wilayah terpencil tetap tinggi; pemborosan pagu pemetaan</t>
  </si>
  <si>
    <t>Sekolah di Daerah Terpencil</t>
  </si>
  <si>
    <t>Peningkatan akuntabilitas kinerja instansi</t>
  </si>
  <si>
    <t>Nilai SAKIP Predikat B &amp; LAKIP tepat waktu</t>
  </si>
  <si>
    <t>Ketiadaan alokasi anggaran operasional DPA bagi tim evaluasi SAKIP</t>
  </si>
  <si>
    <t>RSK-DPA-ZERO-021</t>
  </si>
  <si>
    <t>Keterbatasan ruang fiskal sehingga sub kegiatan dialokasikan Rp 0</t>
  </si>
  <si>
    <t>Penyusunan laporan SAKIP terhambat, risiko penurunan predikat RB Pemda</t>
  </si>
  <si>
    <t>Dinas Pendidikan &amp; Kebudayaan</t>
  </si>
  <si>
    <t xml:space="preserve">PENETAPAN KONTEKS RISIKO STRATEGIS OPD </t>
  </si>
  <si>
    <t>Tahun penilaian</t>
  </si>
  <si>
    <t>OPD yang dinilai</t>
  </si>
  <si>
    <t>: Dinas Pendidikan</t>
  </si>
  <si>
    <t>Tujuan/ sasaran strategi</t>
  </si>
  <si>
    <t>Indikator kinerja</t>
  </si>
  <si>
    <t>Risiko</t>
  </si>
  <si>
    <t>Sebab</t>
  </si>
  <si>
    <t>C/
UC</t>
  </si>
  <si>
    <t>Dampak</t>
  </si>
  <si>
    <t>Pihak yang terdampak</t>
  </si>
  <si>
    <t>Tujuan OPD : Meningkatnya intelektualitas dan karakter anak usia sekolah serta terwujudnya kebudayaan maju</t>
  </si>
  <si>
    <t>Sasaran 1: Meningkatnya Intelektualitas dan karakter anak usia sekolah</t>
  </si>
  <si>
    <t>Rata-rata Lama Sekolah (7,94), Harapan Lama Sekolah (12,71), Capaian SPM (75%)</t>
  </si>
  <si>
    <t>Sasaran 2: Terwujudnya berkebudayaan maju</t>
  </si>
  <si>
    <t>Indeks Pembangunan Kebudayaan (100)</t>
  </si>
  <si>
    <t>Nihil anggaran kajian dan pendaftaran ODCB cagar budaya</t>
  </si>
  <si>
    <t>RSK-DPA-ZERO-022</t>
  </si>
  <si>
    <t>Kabid Kebudayaan</t>
  </si>
  <si>
    <t>Seluruh pagu kebudayaan terserap festival budaya</t>
  </si>
  <si>
    <t>Target penetapan cagar budaya stagnan 0</t>
  </si>
  <si>
    <t>Dinas &amp; Masyarakat Adat</t>
  </si>
  <si>
    <t>Form 8 - PENETAPAN KONTEKS RISIKO OPERASIONAL OPD</t>
  </si>
  <si>
    <t>Sasaran Strategis OPD</t>
  </si>
  <si>
    <t>: Meningkatnya Intelektualitas dan karakter anak usia sekolah</t>
  </si>
  <si>
    <t>: Terwujudnya berkebudayaan maju</t>
  </si>
  <si>
    <t>Kegiatan</t>
  </si>
  <si>
    <t>Indikator keluaran</t>
  </si>
  <si>
    <t>Tahap</t>
  </si>
  <si>
    <t>L</t>
  </si>
  <si>
    <t>Penyediaan Gaji dan Tunjangan ASN (Rp 213,4 M)</t>
  </si>
  <si>
    <t>Pelaksanaan</t>
  </si>
  <si>
    <t>Keterlambatan/kesalahan pembayaran gaji ASN/PPPK</t>
  </si>
  <si>
    <t>Data SIMGAJI/BPKAD terlambat dimutakhirkan</t>
  </si>
  <si>
    <t>Keresahan ribuan guru/pegawai</t>
  </si>
  <si>
    <t>Sekretariat &amp; Guru ASN</t>
  </si>
  <si>
    <t>Pengelolaan Dana BOS SD (Pagu Rp 14,9 M)</t>
  </si>
  <si>
    <t>Pelaksanaan &amp; Pertanggungjawaban</t>
  </si>
  <si>
    <t>Penyaluran BOSP lambat &amp; modal Rp 5,19 M gagal serap</t>
  </si>
  <si>
    <t>Pengesahan RKAS di ARKAS lambat</t>
  </si>
  <si>
    <t>Operasional 129 SD terganggu</t>
  </si>
  <si>
    <t>Pengelolaan Dana BOS SMP (Pagu Rp 5,83 M)</t>
  </si>
  <si>
    <t>Modal Rp 1,77 M lambat &amp; temuan pajak SPJ</t>
  </si>
  <si>
    <t>Kapasitas operator ARKAS rendah</t>
  </si>
  <si>
    <t>Sarana sekolah terlambat, temuan BPK</t>
  </si>
  <si>
    <t>Pengelolaan Dana BOP PAUD (Pagu Rp 4,00 M)</t>
  </si>
  <si>
    <t>Penyaluran Dana BOP ke Satuan PAUD</t>
  </si>
  <si>
    <t>Penyaluran terhambat kendala rekening lembaga</t>
  </si>
  <si>
    <t>Administrasi paruh waktu, Dapodik lambat</t>
  </si>
  <si>
    <t>KBM PAUD mandek, honor terlambat</t>
  </si>
  <si>
    <t>Lembaga PAUD &amp; Guru</t>
  </si>
  <si>
    <t>Pengelolaan Dana BOP Kesetaraan (Rp 1,16 M)</t>
  </si>
  <si>
    <t>Ketidaksesuaian data absensi fisik warga belajar</t>
  </si>
  <si>
    <t>RSK-DPA-PAUD-005</t>
  </si>
  <si>
    <t>Mobilitas warga belajar pekerja tinggi</t>
  </si>
  <si>
    <t>Temuan audit kepatuhan dana hibah</t>
  </si>
  <si>
    <t>PKBM &amp; Warga Belajar</t>
  </si>
  <si>
    <t>Pelindungan Objek Pemajuan Kebudayaan (Rp 300 Jt)</t>
  </si>
  <si>
    <t>Pagelaran Festival Seni Budaya Daerah</t>
  </si>
  <si>
    <t>Pelaksanaan festival budaya molor ke akhir tahun</t>
  </si>
  <si>
    <t>RSK-DPA-BUD-006</t>
  </si>
  <si>
    <t>Juknis terlambat, agenda daerah bentrok</t>
  </si>
  <si>
    <t>IPK rendah, serapan menumpuk di TW IV</t>
  </si>
  <si>
    <t>Dinas &amp; Komunitas Seni</t>
  </si>
  <si>
    <t>Penyediaan Jasa Komunikasi, Air, Listrik (Rp 245 Jt)</t>
  </si>
  <si>
    <t>Keterlambatan tagihan listrik, air, internet kantor</t>
  </si>
  <si>
    <t>RSK-DPA-SEKR-007</t>
  </si>
  <si>
    <t>Keterlambatan pengesahan SPD bulanan</t>
  </si>
  <si>
    <t>Pemutusan sementara sambungan kantor</t>
  </si>
  <si>
    <t>Internal Kantor Dinas</t>
  </si>
  <si>
    <t>Pengembangan Karir GTK SMP (Rp 132 Jt)</t>
  </si>
  <si>
    <t>Pelatihan guru kurang efektif &amp; jadwal bentrok ANBK</t>
  </si>
  <si>
    <t>RSK-DPA-DIKDAS-008</t>
  </si>
  <si>
    <t>Jadwal diklat tidak sinkron kalender sekolah</t>
  </si>
  <si>
    <t>Skor Rapor Pendidikan SMP stagnan</t>
  </si>
  <si>
    <t>Guru SMP</t>
  </si>
  <si>
    <t>Pembinaan Kelembagaan PAUD (Rp 90,5 Jt)</t>
  </si>
  <si>
    <t>Pembinaan tidak tuntas di kecamatan</t>
  </si>
  <si>
    <t>RSK-DPA-PAUD-009</t>
  </si>
  <si>
    <t>Biaya transportasi mahal, staf terbatas</t>
  </si>
  <si>
    <t>PAUD pelosok gagal akreditasi</t>
  </si>
  <si>
    <t>Satuan PAUD Pelosok</t>
  </si>
  <si>
    <t>Penyelenggaraan Rakor SKPD (Rp 49,9 Jt)</t>
  </si>
  <si>
    <t>Pertanggungjawaban</t>
  </si>
  <si>
    <t>SPJ perjalanan dinas lambat, agenda tumpang tindih</t>
  </si>
  <si>
    <t>RSK-DPA-SEKR-010</t>
  </si>
  <si>
    <t>Kurangnya jadwal rapat terintegrasi</t>
  </si>
  <si>
    <t>Inefisiensi biaya, risiko audit SPPD</t>
  </si>
  <si>
    <t>Internal Pegawai Dinas</t>
  </si>
  <si>
    <t>Pembinaan Manajemen Sekolah Dasar (Rp 44,9 Jt)</t>
  </si>
  <si>
    <t>Kepala SD tidak menerapkan MBS hasil pembinaan</t>
  </si>
  <si>
    <t>RSK-DPA-DIKDAS-011</t>
  </si>
  <si>
    <t>Materi pembinaan bersifat normatif</t>
  </si>
  <si>
    <t>Iklim sekolah tidak meningkat</t>
  </si>
  <si>
    <t>Kepala SD &amp; Guru</t>
  </si>
  <si>
    <t>Pembinaan Minat, Bakat Siswa SD (Rp 42,3 Jt)</t>
  </si>
  <si>
    <t>Perencanaan</t>
  </si>
  <si>
    <t>Keterlambatan seleksi ajang talenta OSN/O2SN</t>
  </si>
  <si>
    <t>RSK-DPA-DIKDAS-012</t>
  </si>
  <si>
    <t>Juknis pusat terlambat dikoordinasikan</t>
  </si>
  <si>
    <t>Prestasi kontingen kabupaten minim</t>
  </si>
  <si>
    <t>Siswa SD</t>
  </si>
  <si>
    <t>Pemeliharaan &amp; Pajak Ranmor Dinas (Rp 33,4 Jt)</t>
  </si>
  <si>
    <t>Pemeliharaan &amp; PKB Kendaraan Operasional</t>
  </si>
  <si>
    <t>PKB plat merah terlambat &amp; armada rusak</t>
  </si>
  <si>
    <t>RSK-DPA-SEKR-013</t>
  </si>
  <si>
    <t>Pemegang mobil lalai melapor masa pajak</t>
  </si>
  <si>
    <t>Denda pajak daerah, monitoring terhambat</t>
  </si>
  <si>
    <t>Pengguna Ranmor Dinas</t>
  </si>
  <si>
    <t>Perhitungan &amp; Pemetaan GTK (Rp 27,7 Jt)</t>
  </si>
  <si>
    <t>Dokumen ABK &amp; Peta Guru</t>
  </si>
  <si>
    <t>Peta ABK tidak akurat &amp; penolakan mutasi guru</t>
  </si>
  <si>
    <t>Dapodik lambat sinkron, guru resisten</t>
  </si>
  <si>
    <t>Disparitas guru terpencil tetap tinggi</t>
  </si>
  <si>
    <t>Sekolah Terpencil</t>
  </si>
  <si>
    <t>Supervisi Layanan Bidang PAUD (Rp 19,8 Jt)</t>
  </si>
  <si>
    <t>Instrumen monev gagal pantau calistung transisi</t>
  </si>
  <si>
    <t>RSK-DPA-PAUD-015</t>
  </si>
  <si>
    <t>Instrumen monev masih bersifat manual</t>
  </si>
  <si>
    <t>Target transisi PAUD ramah anak gagal</t>
  </si>
  <si>
    <t>Siswa PAUD/SD</t>
  </si>
  <si>
    <t>Supervisi Pendidikan Nonformal (Rp 19,1 Jt)</t>
  </si>
  <si>
    <t>Rekomendasi PKBM bermasalah tidak tertangani</t>
  </si>
  <si>
    <t>RSK-DPA-PAUD-016</t>
  </si>
  <si>
    <t>Supervisi baru jalan akhir tahun anggaran</t>
  </si>
  <si>
    <t>Risiko pengembalian dana ke kasda</t>
  </si>
  <si>
    <t>PKBM</t>
  </si>
  <si>
    <t>Pembinaan Minat Siswa SMP (Rp 18,4 Jt)</t>
  </si>
  <si>
    <t>Seleksi Ajang Bakat/Lomba Siswa SMP</t>
  </si>
  <si>
    <t>Partisipasi SMP swasta/pelosok minim</t>
  </si>
  <si>
    <t>RSK-DPA-DIKDAS-017</t>
  </si>
  <si>
    <t>Biaya transportasi akomodasi tinggi</t>
  </si>
  <si>
    <t>Talenta daerah pesisir tidak terwadahi</t>
  </si>
  <si>
    <t>Siswa SMP Pelosok</t>
  </si>
  <si>
    <t>Peningkatan Kapasitas BOP PAUD (Rp 19,9 Jt)</t>
  </si>
  <si>
    <t>Bendahara PAUD belum mandiri buat SPJ</t>
  </si>
  <si>
    <t>RSK-DPA-PAUD-018</t>
  </si>
  <si>
    <t>Turnover pengurus tinggi, diklat singkat</t>
  </si>
  <si>
    <t>SPJ revisi berulang, salur terhambat</t>
  </si>
  <si>
    <t>Bendahara PAUD</t>
  </si>
  <si>
    <t>Sosialisasi Peraturan ASN (Rp 10,7 Jt)</t>
  </si>
  <si>
    <t>Sosialisasi Netralitas &amp; Disiplin ASN</t>
  </si>
  <si>
    <t>Kepatuhan disiplin &amp; netralitas guru rendah</t>
  </si>
  <si>
    <t>RSK-DPA-SEKR-019</t>
  </si>
  <si>
    <t>Sosialisasi hanya sampel terbatas</t>
  </si>
  <si>
    <t>Pelanggaran disiplin berulang</t>
  </si>
  <si>
    <t>Guru &amp; ASN Dikbud</t>
  </si>
  <si>
    <t>Pemeliharaan Gedung Kantor (Rp 9,47 Jt)</t>
  </si>
  <si>
    <t>Pemeliharaan Rutin / Rehab Atap Kantor</t>
  </si>
  <si>
    <t>Atap kantor bocor merusak arsip &amp; komputer</t>
  </si>
  <si>
    <t>RSK-DPA-SEKR-020</t>
  </si>
  <si>
    <t>Kasubag Umum &amp; Perlengkapan</t>
  </si>
  <si>
    <t>Alokasi pagu sangat minim dibanding kerusakan</t>
  </si>
  <si>
    <t>Eksternal</t>
  </si>
  <si>
    <t>UC</t>
  </si>
  <si>
    <t>Kerusakan berkas SPJ &amp; perangkat server</t>
  </si>
  <si>
    <t>Penyusunan Pelaporan SAKIP (Pagu Rp 0)</t>
  </si>
  <si>
    <t>Dokumen LAKIP, SAKIP, dan Evaluasi Renja</t>
  </si>
  <si>
    <t>Nihil anggaran operasional tim penyusun SAKIP</t>
  </si>
  <si>
    <t>Fiskal terbatas dialihkan ke belanja wajib</t>
  </si>
  <si>
    <t>Penyusunan LAKIP terhambat, nilai RB turun</t>
  </si>
  <si>
    <t>Dinas Pendidikan</t>
  </si>
  <si>
    <t>Pendaftaran Cagar Budaya (ODCB) (Pagu Rp 0)</t>
  </si>
  <si>
    <t>Nihil anggaran kajian dan pendaftaran ODCB</t>
  </si>
  <si>
    <t>Seluruh pagu kebudayaan terserap festival</t>
  </si>
  <si>
    <t>HASIL ANALISIS RISIKO</t>
  </si>
  <si>
    <t>Risiko yang Teridentifikasi</t>
  </si>
  <si>
    <t>Kode Risiko</t>
  </si>
  <si>
    <t>Skala Dampak (d)</t>
  </si>
  <si>
    <t>Skala Kemungkinan (e)</t>
  </si>
  <si>
    <t>Skor Risiko (f = d x e)</t>
  </si>
  <si>
    <t>Tingkat Kategori</t>
  </si>
  <si>
    <t>BOS SD: Belanja modal Rp 5,19 M gagal serap &amp; salur BOSP lambat</t>
  </si>
  <si>
    <t>Sangat Tinggi</t>
  </si>
  <si>
    <t>BOS SMP: Belanja modal Rp 1,77 M lambat &amp; temuan pajak SPJ</t>
  </si>
  <si>
    <t>BOP PAUD: Penyaluran terhambat kendala rekening &amp; SPJ</t>
  </si>
  <si>
    <t>Pemetaan Guru: Data ABK tidak akurat &amp; penolakan mutasi zonasi</t>
  </si>
  <si>
    <t>SAKIP &amp; Renja: Pagu Rp 0 meniadakan operasional tim LAKIP</t>
  </si>
  <si>
    <t>Cagar Budaya: Pagu Rp 0 kajian dan pendaftaran ODCB stagnan</t>
  </si>
  <si>
    <t>Gaji ASN: Keterlambatan/kesalahan gaji ASN/PPPK Rp 213,4 M</t>
  </si>
  <si>
    <t>Tinggi</t>
  </si>
  <si>
    <t>Gedung Kantor: Atap kantor bocor merusak arsip SPJ &amp; komputer</t>
  </si>
  <si>
    <t>BOP Kesetaraan: Ketidaksesuaian data absensi fisik warga belajar</t>
  </si>
  <si>
    <t>Pelindungan Budaya: Pagelaran festival seni Rp 300 Jt molor</t>
  </si>
  <si>
    <t>Sedang</t>
  </si>
  <si>
    <t>Karir Guru SMP: Pelatihan guru berbenturan jadwal ANBK</t>
  </si>
  <si>
    <t>Pembinaan PAUD: Pembinaan manajemen tidak merata di pelosok</t>
  </si>
  <si>
    <t>Minat Siswa SD: Seleksi ajang talenta OSN/O2SN terlambat</t>
  </si>
  <si>
    <t>Mobil Dinas: Pelunasan PKB terlambat &amp; kendaraan rusak</t>
  </si>
  <si>
    <t>Bimtek PAUD: Bendahara belum mandiri menyusun SPJ BOP</t>
  </si>
  <si>
    <t>Sosialisasi ASN: Kepatuhan aturan kepegawaian rendah</t>
  </si>
  <si>
    <t>Listrik &amp; Air Kantor: Keterlambatan bayar tagihan operasional</t>
  </si>
  <si>
    <t>Rakor SKPD: SPJ perjalanan dinas lambat diajukan</t>
  </si>
  <si>
    <t>Rendah</t>
  </si>
  <si>
    <t>MBS SD: Implementasi manajemen berbasis sekolah rendah</t>
  </si>
  <si>
    <t>Supervisi PAUD: Kuesioner transisi PAUD-SD belum digital</t>
  </si>
  <si>
    <t>Supervisi PNF: Tindak lanjut evaluasi PKBM lambat</t>
  </si>
  <si>
    <t>Minat Siswa SMP: Partisipasi sekolah pelosok minim</t>
  </si>
  <si>
    <t>MATRIKS PROFIL ANALISIS RISIKO 5X5 DPA SKPD TA 2026</t>
  </si>
  <si>
    <t>Kemungkinan Terjadi</t>
  </si>
  <si>
    <t>Tingkat Dampak / Konsekuensi</t>
  </si>
  <si>
    <t>1 - Tidak Signifikan</t>
  </si>
  <si>
    <t>2 - Kurang Signifikan</t>
  </si>
  <si>
    <t>3 - Sedang / Signifikan</t>
  </si>
  <si>
    <t>4 - Sangat Signifikan</t>
  </si>
  <si>
    <t>5 - Fatal / Katastropik</t>
  </si>
  <si>
    <t>5 - Hampir Pasti</t>
  </si>
  <si>
    <t>5 (Sedang)</t>
  </si>
  <si>
    <t>10 (Sedang)</t>
  </si>
  <si>
    <t>15 (Tinggi)</t>
  </si>
  <si>
    <t>20 (Sangat Tinggi)</t>
  </si>
  <si>
    <t>25 (Sangat Tinggi)</t>
  </si>
  <si>
    <t>4 - Sering Terjadi</t>
  </si>
  <si>
    <t>4 (Rendah)</t>
  </si>
  <si>
    <t>8 (Sedang)</t>
  </si>
  <si>
    <t xml:space="preserve">             12 (Sedang)RSK-DPA-SEKR-020           </t>
  </si>
  <si>
    <t xml:space="preserve">             16 (Sangat Tinggi)                            RSK-DPA-DIKDAS-003               RSK-DPA-PAUD-004               RSK-DPA-GTK-014               RSK-DPA-ZERO-021               RSK-DPA-ZERO-022                        </t>
  </si>
  <si>
    <t xml:space="preserve">             20 (Sangat Tinggi)             RSK-DPA-DIKDAS-002           </t>
  </si>
  <si>
    <t>3 - Kadang-Kadang</t>
  </si>
  <si>
    <t>3 (Rendah)</t>
  </si>
  <si>
    <t>6 (Rendah)RSK-DPA-DIKDAS-017</t>
  </si>
  <si>
    <t xml:space="preserve">             9 (Sedang)                            BUD-006, DIKDAS-008, PAUD-009, DIKDAS-011, DIKDAS-012, SEKR-013, PAUD-015, PAUD-016, PAUD-018, SEKR-019                        </t>
  </si>
  <si>
    <t>12 (Sedang)RSK-DPA-PAUD-005</t>
  </si>
  <si>
    <t>15 (Tinggi)RSK-DPA-SEKR-001</t>
  </si>
  <si>
    <t>2 - Jarang</t>
  </si>
  <si>
    <t>2 (Rendah)</t>
  </si>
  <si>
    <t>6 (Rendah)RSK-DPA-SEKR-010</t>
  </si>
  <si>
    <t>8 (Sedang)RSK-DPA-SEKR-007</t>
  </si>
  <si>
    <t>1 - Sangat Jarang</t>
  </si>
  <si>
    <t>1 (Rendah)</t>
  </si>
  <si>
    <t>DAFTAR RISIKO PRIORITAS OPD</t>
  </si>
  <si>
    <t>Risiko Prioritas</t>
  </si>
  <si>
    <t>Skala Risiko</t>
  </si>
  <si>
    <t>Pemilik Risiko</t>
  </si>
  <si>
    <t>Penyebab Utama</t>
  </si>
  <si>
    <t>Dampak Utama</t>
  </si>
  <si>
    <t>BOS SD: Belanja modal Rp 5,19 M &amp; salur BOSP</t>
  </si>
  <si>
    <t>Pengesahan RKAS ARKAS lambat, SPJ menumpuk</t>
  </si>
  <si>
    <t>Operasional 129 SD terganggu, blokir rekening</t>
  </si>
  <si>
    <t>BOS SMP: Belanja modal Rp 1,77 M &amp; pajak SPJ</t>
  </si>
  <si>
    <t>Kapasitas operator ARKAS rendah, aset lambat rekon</t>
  </si>
  <si>
    <t>Pengadaan sarana terhambat, temuan BPK</t>
  </si>
  <si>
    <t>BOP PAUD: Salur terhambat kendala rekening</t>
  </si>
  <si>
    <t>KBM PAUD mandek, honor pendidik tertunda</t>
  </si>
  <si>
    <t>Pemetaan Guru: ABK tidak akurat &amp; tolak mutasi</t>
  </si>
  <si>
    <t>Sinkronisasi Dapodik lambat, resistensi guru</t>
  </si>
  <si>
    <t>Disparitas guru daerah terpencil tetap tinggi</t>
  </si>
  <si>
    <t>SAKIP &amp; Renja: Pagu Rp 0 penyusunan LAKIP</t>
  </si>
  <si>
    <t>Fiskal APBD dialihkan ke belanja wajib gaji</t>
  </si>
  <si>
    <t>LAKIP &amp; Renja terhambat, nilai RB turun</t>
  </si>
  <si>
    <t>Cagar Budaya: Pagu Rp 0 registrasi ODCB</t>
  </si>
  <si>
    <t>Pagu kebudayaan terserap penuh festival budaya</t>
  </si>
  <si>
    <t>Gaji ASN: Pembayaran gaji pegawai Rp 213,4 M</t>
  </si>
  <si>
    <t>SIMGAJI/BPKAD terlambat rekon mutasi pensiun</t>
  </si>
  <si>
    <t>Keresahan ribuan guru/pegawai, demotivasi</t>
  </si>
  <si>
    <t>Gedung Kantor: Atap bocor rusak arsip SPJ</t>
  </si>
  <si>
    <t>Pagu pemeliharaan sangat minim (Rp 9,47 Juta)</t>
  </si>
  <si>
    <t>Kerusakan berkas arsip SPJ &amp; perangkat IT</t>
  </si>
  <si>
    <t>Kondisi Lingkungan Pengendalian Kurang Memadai</t>
  </si>
  <si>
    <t>Rencana Tindak Perbaikan Lingkungan Pengendalian</t>
  </si>
  <si>
    <t>Penanggung Jawab</t>
  </si>
  <si>
    <t>Target Waktu Penyelesaian</t>
  </si>
  <si>
    <t>Kapasitas dan pemahaman operator sekolah terkait pengelolaan keuangan BOSP dan pajak SPJ masih rendah</t>
  </si>
  <si>
    <t>Penyelenggaraan Bimbingan Teknis dan pendampingan e-purchasing SIPLah serta perpajakan SPJ bagi bendahara sekolah</t>
  </si>
  <si>
    <t>Tim BOS Dikbud &amp; Kasubag Keuangan</t>
  </si>
  <si>
    <t>Triwulan I &amp; II 2026</t>
  </si>
  <si>
    <t>PEMBINAAN SUMBER DAYA MANUSIA (SDM)</t>
  </si>
  <si>
    <t>Pemerataan dan redistribusi guru PNS di wilayah terpencil belum berbasis data spasial yang akurat</t>
  </si>
  <si>
    <t>Penyusunan Perbup Pedoman Redistribusi Guru &amp; Integrasi Peta Zonasi Guru berbasis Analisis Beban Kerja (ABK)</t>
  </si>
  <si>
    <t>Kabid Ketenagaan (GTK) &amp; BKPSDM</t>
  </si>
  <si>
    <t>Triwulan II 2026</t>
  </si>
  <si>
    <t>KEPEMIMPINAN YANG KONDUSIF</t>
  </si>
  <si>
    <t>Nihil alokasi anggaran operasional penyusunan dokumen LAKIP dan pendaftaran Cagar Budaya</t>
  </si>
  <si>
    <t>Pengembangan aplikasi e-SAKIP mandiri Dikbud dan kemitraan swakelola riset cagar budaya bersama Balai BPK</t>
  </si>
  <si>
    <t>Sekretaris Dinas &amp; Kabid Kebudayaan</t>
  </si>
  <si>
    <t>Triwulan I - IV 2026</t>
  </si>
  <si>
    <t xml:space="preserve">Penilaian atas kegiatan pengendalian yang ada dan masih dibutuhkan </t>
  </si>
  <si>
    <t>Pengendalian yang Sudah Ada</t>
  </si>
  <si>
    <t>Celah Pengendalian (Alasan Tidak Efektif)</t>
  </si>
  <si>
    <t>Rencana Tindak Pengendalian (RTP)</t>
  </si>
  <si>
    <t>Target Waktu</t>
  </si>
  <si>
    <t>BOS SD (Pagu Rp 14,9 M)</t>
  </si>
  <si>
    <t>Monitoring ARKAS berkala</t>
  </si>
  <si>
    <t>Belum ada klinik asistensi meja</t>
  </si>
  <si>
    <t>Klinik Asistensi ARKAS BOSP &amp; cut-off H-14 batas salur</t>
  </si>
  <si>
    <t>Kabid Dikdas &amp; Tim BOS</t>
  </si>
  <si>
    <t>Feb - Okt 2026</t>
  </si>
  <si>
    <t>BOS SMP (Pagu Rp 5,83 M)</t>
  </si>
  <si>
    <t>Verifikasi berkas manual</t>
  </si>
  <si>
    <t>Verifikasi SIPLah &amp; aset lambat</t>
  </si>
  <si>
    <t>Pendampingan e-purchasing SIPLah &amp; rekon aset triwulanan</t>
  </si>
  <si>
    <t>Mar - Nov 2026</t>
  </si>
  <si>
    <t>BOP PAUD (Pagu Rp 4,00 M)</t>
  </si>
  <si>
    <t>Surat edaran batas waktu</t>
  </si>
  <si>
    <t>Surat edaran sering diabaikan</t>
  </si>
  <si>
    <t>Pemberdayaan PKG sebagai simpul verifikasi berjenjang</t>
  </si>
  <si>
    <t>Kabid PAUD &amp; Kasi Lembaga</t>
  </si>
  <si>
    <t>Apr - Okt 2026</t>
  </si>
  <si>
    <t>Pemetaan GTK (Rp 27,7 Jt)</t>
  </si>
  <si>
    <t>Pengecekan di Dapodik</t>
  </si>
  <si>
    <t>Dapodik belum link peta zonasi</t>
  </si>
  <si>
    <t>Rekonsiliasi data guru berbasis spasial &amp; Zonasi</t>
  </si>
  <si>
    <t>Mei - Okt 2026</t>
  </si>
  <si>
    <t>SAKIP Dikbud (Pagu Rp 0)</t>
  </si>
  <si>
    <t>Rapat LAKIP tahunan ad-hoc</t>
  </si>
  <si>
    <t>Tidak ada anggaran operasional</t>
  </si>
  <si>
    <t>Pemanfaatan sistem digital e-SAKIP mandiri perangkat daerah</t>
  </si>
  <si>
    <t>Sekretaris &amp; Kasubag 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</si>
</sst>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Rp&quot;* #,##0_-;\-&quot;Rp&quot;* #,##0_-;_-&quot;Rp&quot;* &quot;-&quot;_-;_-@_-"/>
    <numFmt numFmtId="164" formatCode="_-[$Rp-3809]* #,##0.00_-;\-[$Rp-3809]* #,##0.00_-;_-[$Rp-3809]* &quot;-&quot;??_-;_-@_-"/>
  </numFmts>
  <fonts count="20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62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0"/>
      <color rgb="FFFFFFFF"/>
      <name val="Calibri"/>
      <family val="2"/>
    </font>
    <font>
      <b/>
      <sz val="10"/>
      <color rgb="FF1F4E78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3"/>
      <color rgb="FF1F4E78"/>
      <name val="Calibri"/>
      <family val="2"/>
    </font>
    <font>
      <b/>
      <sz val="10"/>
      <name val="Calibri"/>
      <family val="2"/>
    </font>
    <font>
      <b/>
      <sz val="9"/>
      <color rgb="FFFFFFFF"/>
      <name val="Calibri"/>
      <family val="2"/>
    </font>
    <font>
      <b/>
      <sz val="9"/>
      <color rgb="FF1F4E78"/>
      <name val="Calibri"/>
      <family val="2"/>
    </font>
    <font>
      <sz val="9"/>
      <name val="Calibri"/>
      <family val="2"/>
    </font>
    <font>
      <b/>
      <sz val="10"/>
      <color rgb="FF1F4E7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rgb="FFD1D5DB"/>
      </top>
      <bottom style="thin">
        <color rgb="FFD1D5D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D1D5DB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/>
      <right style="thin">
        <color rgb="FFD9D9D9"/>
      </right>
      <top style="medium">
        <color rgb="FF1F4E78"/>
      </top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>
      <alignment vertical="center"/>
    </xf>
    <xf numFmtId="42" fontId="2" fillId="0" borderId="0"/>
    <xf numFmtId="0" fontId="8" fillId="0" borderId="0"/>
    <xf numFmtId="0" fontId="2" fillId="0" borderId="0"/>
  </cellStyleXfs>
  <cellXfs count="111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3" fontId="5" fillId="0" borderId="1" xfId="0" applyNumberFormat="1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10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2"/>
    <xf numFmtId="0" fontId="8" fillId="0" borderId="1" xfId="2" applyBorder="1" applyAlignment="1">
      <alignment horizontal="center" vertical="center"/>
    </xf>
    <xf numFmtId="0" fontId="8" fillId="0" borderId="0" xfId="2" applyAlignment="1">
      <alignment horizontal="center"/>
    </xf>
    <xf numFmtId="0" fontId="8" fillId="0" borderId="0" xfId="2" applyAlignment="1">
      <alignment wrapText="1"/>
    </xf>
    <xf numFmtId="0" fontId="8" fillId="0" borderId="1" xfId="2" applyBorder="1" applyAlignment="1">
      <alignment horizontal="center" vertical="center" wrapText="1"/>
    </xf>
    <xf numFmtId="0" fontId="8" fillId="0" borderId="1" xfId="2" applyBorder="1" applyAlignment="1">
      <alignment vertical="center" wrapText="1"/>
    </xf>
    <xf numFmtId="0" fontId="8" fillId="0" borderId="1" xfId="2" applyBorder="1" applyAlignment="1">
      <alignment vertical="center"/>
    </xf>
    <xf numFmtId="0" fontId="11" fillId="11" borderId="1" xfId="3" applyFont="1" applyFill="1" applyBorder="1" applyAlignment="1">
      <alignment horizontal="center" vertical="center" wrapText="1"/>
    </xf>
    <xf numFmtId="0" fontId="11" fillId="11" borderId="1" xfId="3" applyFont="1" applyFill="1" applyBorder="1" applyAlignment="1">
      <alignment horizontal="left" vertical="center" wrapText="1"/>
    </xf>
    <xf numFmtId="0" fontId="12" fillId="0" borderId="1" xfId="3" applyFont="1" applyBorder="1" applyAlignment="1">
      <alignment horizontal="left" vertical="center" wrapText="1"/>
    </xf>
    <xf numFmtId="0" fontId="13" fillId="0" borderId="1" xfId="3" applyFont="1" applyBorder="1" applyAlignment="1">
      <alignment horizontal="center" vertical="center" wrapText="1"/>
    </xf>
    <xf numFmtId="0" fontId="5" fillId="0" borderId="0" xfId="3" applyFont="1"/>
    <xf numFmtId="0" fontId="15" fillId="0" borderId="0" xfId="3" applyFont="1" applyAlignment="1">
      <alignment horizontal="left"/>
    </xf>
    <xf numFmtId="0" fontId="7" fillId="0" borderId="0" xfId="0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15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0" fontId="15" fillId="0" borderId="0" xfId="3" applyFont="1"/>
    <xf numFmtId="0" fontId="1" fillId="0" borderId="0" xfId="3" applyFont="1"/>
    <xf numFmtId="0" fontId="10" fillId="10" borderId="1" xfId="3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1" fillId="12" borderId="1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7" fillId="12" borderId="1" xfId="3" applyFont="1" applyFill="1" applyBorder="1" applyAlignment="1">
      <alignment horizontal="center" vertical="center" wrapText="1"/>
    </xf>
    <xf numFmtId="0" fontId="16" fillId="10" borderId="16" xfId="3" applyFont="1" applyFill="1" applyBorder="1" applyAlignment="1">
      <alignment horizontal="center" vertical="center" wrapText="1"/>
    </xf>
    <xf numFmtId="0" fontId="16" fillId="10" borderId="1" xfId="3" applyFont="1" applyFill="1" applyBorder="1" applyAlignment="1">
      <alignment horizontal="center" vertical="center" wrapText="1"/>
    </xf>
    <xf numFmtId="0" fontId="8" fillId="0" borderId="0" xfId="2" applyAlignment="1">
      <alignment horizontal="center" vertical="center"/>
    </xf>
    <xf numFmtId="0" fontId="0" fillId="0" borderId="0" xfId="0" applyAlignment="1"/>
    <xf numFmtId="42" fontId="5" fillId="0" borderId="1" xfId="1" applyFont="1" applyBorder="1" applyAlignment="1">
      <alignment horizontal="right" vertical="center" wrapText="1"/>
    </xf>
    <xf numFmtId="0" fontId="9" fillId="0" borderId="0" xfId="3" applyFont="1" applyAlignment="1">
      <alignment horizontal="center" vertical="center"/>
    </xf>
    <xf numFmtId="0" fontId="1" fillId="0" borderId="0" xfId="3" applyFont="1"/>
    <xf numFmtId="0" fontId="10" fillId="10" borderId="1" xfId="3" applyFont="1" applyFill="1" applyBorder="1" applyAlignment="1">
      <alignment horizontal="center" vertical="center" wrapText="1"/>
    </xf>
    <xf numFmtId="0" fontId="0" fillId="0" borderId="7" xfId="0" applyBorder="1" applyAlignment="1"/>
    <xf numFmtId="0" fontId="1" fillId="11" borderId="1" xfId="3" applyFont="1" applyFill="1" applyBorder="1"/>
    <xf numFmtId="0" fontId="0" fillId="0" borderId="5" xfId="0" applyBorder="1" applyAlignment="1"/>
    <xf numFmtId="0" fontId="0" fillId="0" borderId="4" xfId="0" applyBorder="1" applyAlignment="1"/>
    <xf numFmtId="0" fontId="11" fillId="12" borderId="1" xfId="3" applyFont="1" applyFill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/>
    <xf numFmtId="0" fontId="3" fillId="2" borderId="1" xfId="0" applyFont="1" applyFill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7" fillId="12" borderId="1" xfId="3" applyFont="1" applyFill="1" applyBorder="1" applyAlignment="1">
      <alignment horizontal="center" vertical="center" wrapText="1"/>
    </xf>
    <xf numFmtId="0" fontId="16" fillId="10" borderId="1" xfId="3" applyFont="1" applyFill="1" applyBorder="1" applyAlignment="1">
      <alignment horizontal="center" vertical="center" wrapText="1"/>
    </xf>
    <xf numFmtId="0" fontId="16" fillId="10" borderId="14" xfId="3" applyFont="1" applyFill="1" applyBorder="1" applyAlignment="1">
      <alignment horizontal="center" vertical="center" wrapText="1"/>
    </xf>
    <xf numFmtId="0" fontId="0" fillId="0" borderId="19" xfId="0" applyBorder="1" applyAlignment="1"/>
    <xf numFmtId="0" fontId="0" fillId="0" borderId="21" xfId="0" applyBorder="1" applyAlignment="1"/>
    <xf numFmtId="0" fontId="0" fillId="0" borderId="20" xfId="0" applyBorder="1" applyAlignment="1"/>
    <xf numFmtId="0" fontId="16" fillId="10" borderId="16" xfId="3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8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8" fillId="0" borderId="0" xfId="2" applyAlignment="1">
      <alignment horizontal="center" vertical="center"/>
    </xf>
    <xf numFmtId="0" fontId="8" fillId="0" borderId="0" xfId="2" applyAlignment="1">
      <alignment wrapText="1"/>
    </xf>
    <xf numFmtId="0" fontId="8" fillId="0" borderId="0" xfId="2"/>
    <xf numFmtId="0" fontId="8" fillId="0" borderId="1" xfId="2" applyBorder="1" applyAlignment="1">
      <alignment horizontal="left" vertical="center" wrapText="1"/>
    </xf>
    <xf numFmtId="0" fontId="8" fillId="0" borderId="1" xfId="2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top" wrapText="1"/>
    </xf>
    <xf numFmtId="0" fontId="18" fillId="0" borderId="1" xfId="3" applyFont="1" applyBorder="1" applyAlignment="1">
      <alignment horizontal="left" vertical="top" wrapText="1"/>
    </xf>
    <xf numFmtId="0" fontId="18" fillId="0" borderId="1" xfId="0" applyFont="1" applyBorder="1" applyAlignment="1"/>
    <xf numFmtId="0" fontId="18" fillId="0" borderId="1" xfId="3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0" fontId="19" fillId="13" borderId="22" xfId="3" applyFont="1" applyFill="1" applyBorder="1" applyAlignment="1">
      <alignment horizontal="left" vertical="center"/>
    </xf>
    <xf numFmtId="0" fontId="0" fillId="0" borderId="22" xfId="0" applyBorder="1" applyAlignment="1"/>
    <xf numFmtId="0" fontId="18" fillId="0" borderId="1" xfId="0" applyFont="1" applyBorder="1" applyAlignment="1">
      <alignment horizontal="left" vertical="top" wrapText="1"/>
    </xf>
  </cellXfs>
  <cellStyles count="4">
    <cellStyle name="Currency [0]" xfId="1" builtinId="7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opLeftCell="A28" workbookViewId="0">
      <selection activeCell="I38" sqref="I38"/>
    </sheetView>
  </sheetViews>
  <sheetFormatPr defaultRowHeight="15" x14ac:dyDescent="0.25"/>
  <cols>
    <col min="1" max="1" width="6" style="49" customWidth="1"/>
    <col min="2" max="2" width="55" style="49" customWidth="1"/>
    <col min="3" max="8" width="6" style="49" customWidth="1"/>
    <col min="9" max="9" width="10" style="49" customWidth="1"/>
    <col min="10" max="10" width="22" style="49" customWidth="1"/>
    <col min="11" max="11" width="9.140625" style="49" customWidth="1"/>
    <col min="12" max="16384" width="9.140625" style="49"/>
  </cols>
  <sheetData>
    <row r="1" spans="1:10" ht="18.75" customHeight="1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</row>
    <row r="3" spans="1:10" x14ac:dyDescent="0.25">
      <c r="A3" s="64" t="s">
        <v>1</v>
      </c>
      <c r="B3" s="64" t="s">
        <v>2</v>
      </c>
      <c r="C3" s="64" t="s">
        <v>3</v>
      </c>
      <c r="D3" s="67"/>
      <c r="E3" s="67"/>
      <c r="F3" s="67"/>
      <c r="G3" s="67"/>
      <c r="H3" s="68"/>
      <c r="I3" s="64" t="s">
        <v>4</v>
      </c>
      <c r="J3" s="64" t="s">
        <v>5</v>
      </c>
    </row>
    <row r="4" spans="1:10" x14ac:dyDescent="0.25">
      <c r="A4" s="65"/>
      <c r="B4" s="65"/>
      <c r="C4" s="50" t="s">
        <v>6</v>
      </c>
      <c r="D4" s="50" t="s">
        <v>7</v>
      </c>
      <c r="E4" s="50" t="s">
        <v>8</v>
      </c>
      <c r="F4" s="50" t="s">
        <v>9</v>
      </c>
      <c r="G4" s="50" t="s">
        <v>10</v>
      </c>
      <c r="H4" s="50" t="s">
        <v>11</v>
      </c>
      <c r="I4" s="65"/>
      <c r="J4" s="65"/>
    </row>
    <row r="5" spans="1:10" x14ac:dyDescent="0.25">
      <c r="A5" s="38" t="s">
        <v>12</v>
      </c>
      <c r="B5" s="39" t="s">
        <v>13</v>
      </c>
      <c r="C5" s="66"/>
      <c r="D5" s="67"/>
      <c r="E5" s="67"/>
      <c r="F5" s="67"/>
      <c r="G5" s="67"/>
      <c r="H5" s="67"/>
      <c r="I5" s="68"/>
      <c r="J5" s="38" t="s">
        <v>14</v>
      </c>
    </row>
    <row r="6" spans="1:10" ht="38.25" customHeight="1" x14ac:dyDescent="0.25">
      <c r="A6" s="51">
        <v>1</v>
      </c>
      <c r="B6" s="40" t="s">
        <v>15</v>
      </c>
      <c r="C6" s="51">
        <v>2</v>
      </c>
      <c r="D6" s="51">
        <v>4</v>
      </c>
      <c r="E6" s="51">
        <v>3</v>
      </c>
      <c r="F6" s="51">
        <v>3</v>
      </c>
      <c r="G6" s="51">
        <v>3</v>
      </c>
      <c r="H6" s="51">
        <v>2</v>
      </c>
      <c r="I6" s="41">
        <f>MODE(C6:H6)</f>
        <v>3</v>
      </c>
      <c r="J6" s="51" t="s">
        <v>16</v>
      </c>
    </row>
    <row r="7" spans="1:10" ht="38.25" customHeight="1" x14ac:dyDescent="0.25">
      <c r="A7" s="51">
        <v>2</v>
      </c>
      <c r="B7" s="40" t="s">
        <v>17</v>
      </c>
      <c r="C7" s="51">
        <v>3</v>
      </c>
      <c r="D7" s="51">
        <v>3</v>
      </c>
      <c r="E7" s="51">
        <v>3</v>
      </c>
      <c r="F7" s="51">
        <v>3</v>
      </c>
      <c r="G7" s="51">
        <v>3</v>
      </c>
      <c r="H7" s="51">
        <v>3</v>
      </c>
      <c r="I7" s="41">
        <f>MODE(C7:H7)</f>
        <v>3</v>
      </c>
      <c r="J7" s="51" t="s">
        <v>16</v>
      </c>
    </row>
    <row r="8" spans="1:10" ht="38.25" customHeight="1" x14ac:dyDescent="0.25">
      <c r="A8" s="51">
        <v>3</v>
      </c>
      <c r="B8" s="40" t="s">
        <v>18</v>
      </c>
      <c r="C8" s="51">
        <v>1</v>
      </c>
      <c r="D8" s="51">
        <v>3</v>
      </c>
      <c r="E8" s="51">
        <v>2</v>
      </c>
      <c r="F8" s="51">
        <v>3</v>
      </c>
      <c r="G8" s="51">
        <v>3</v>
      </c>
      <c r="H8" s="51">
        <v>3</v>
      </c>
      <c r="I8" s="41">
        <f>MODE(C8:H8)</f>
        <v>3</v>
      </c>
      <c r="J8" s="51" t="s">
        <v>16</v>
      </c>
    </row>
    <row r="9" spans="1:10" x14ac:dyDescent="0.25">
      <c r="A9" s="51">
        <v>4</v>
      </c>
      <c r="B9" s="40" t="s">
        <v>19</v>
      </c>
      <c r="C9" s="51">
        <v>3</v>
      </c>
      <c r="D9" s="51">
        <v>3</v>
      </c>
      <c r="E9" s="51">
        <v>3</v>
      </c>
      <c r="F9" s="51">
        <v>3</v>
      </c>
      <c r="G9" s="51">
        <v>2</v>
      </c>
      <c r="H9" s="51">
        <v>3</v>
      </c>
      <c r="I9" s="41">
        <f>MODE(C9:H9)</f>
        <v>3</v>
      </c>
      <c r="J9" s="51" t="s">
        <v>16</v>
      </c>
    </row>
    <row r="10" spans="1:10" x14ac:dyDescent="0.25">
      <c r="A10" s="38" t="s">
        <v>20</v>
      </c>
      <c r="B10" s="39" t="s">
        <v>21</v>
      </c>
      <c r="C10" s="66"/>
      <c r="D10" s="67"/>
      <c r="E10" s="67"/>
      <c r="F10" s="67"/>
      <c r="G10" s="67"/>
      <c r="H10" s="67"/>
      <c r="I10" s="68"/>
      <c r="J10" s="38" t="s">
        <v>14</v>
      </c>
    </row>
    <row r="11" spans="1:10" ht="25.5" customHeight="1" x14ac:dyDescent="0.25">
      <c r="A11" s="51">
        <v>1</v>
      </c>
      <c r="B11" s="40" t="s">
        <v>22</v>
      </c>
      <c r="C11" s="51">
        <v>3</v>
      </c>
      <c r="D11" s="51">
        <v>3</v>
      </c>
      <c r="E11" s="51">
        <v>3</v>
      </c>
      <c r="F11" s="51">
        <v>3</v>
      </c>
      <c r="G11" s="51">
        <v>2</v>
      </c>
      <c r="H11" s="51">
        <v>3</v>
      </c>
      <c r="I11" s="41">
        <f>MODE(C11:H11)</f>
        <v>3</v>
      </c>
      <c r="J11" s="51" t="s">
        <v>23</v>
      </c>
    </row>
    <row r="12" spans="1:10" ht="25.5" customHeight="1" x14ac:dyDescent="0.25">
      <c r="A12" s="51">
        <v>2</v>
      </c>
      <c r="B12" s="40" t="s">
        <v>24</v>
      </c>
      <c r="C12" s="51">
        <v>2</v>
      </c>
      <c r="D12" s="51">
        <v>4</v>
      </c>
      <c r="E12" s="51">
        <v>3</v>
      </c>
      <c r="F12" s="51">
        <v>3</v>
      </c>
      <c r="G12" s="51">
        <v>3</v>
      </c>
      <c r="H12" s="51">
        <v>3</v>
      </c>
      <c r="I12" s="41">
        <f>MODE(C12:H12)</f>
        <v>3</v>
      </c>
      <c r="J12" s="51" t="s">
        <v>16</v>
      </c>
    </row>
    <row r="13" spans="1:10" ht="25.5" customHeight="1" x14ac:dyDescent="0.25">
      <c r="A13" s="51">
        <v>3</v>
      </c>
      <c r="B13" s="40" t="s">
        <v>25</v>
      </c>
      <c r="C13" s="51">
        <v>1</v>
      </c>
      <c r="D13" s="51">
        <v>3</v>
      </c>
      <c r="E13" s="51">
        <v>2</v>
      </c>
      <c r="F13" s="51">
        <v>3</v>
      </c>
      <c r="G13" s="51">
        <v>3</v>
      </c>
      <c r="H13" s="51">
        <v>3</v>
      </c>
      <c r="I13" s="41">
        <f>MODE(C13:H13)</f>
        <v>3</v>
      </c>
      <c r="J13" s="51" t="s">
        <v>16</v>
      </c>
    </row>
    <row r="14" spans="1:10" ht="25.5" customHeight="1" x14ac:dyDescent="0.25">
      <c r="A14" s="51">
        <v>4</v>
      </c>
      <c r="B14" s="40" t="s">
        <v>26</v>
      </c>
      <c r="C14" s="51">
        <v>3</v>
      </c>
      <c r="D14" s="51">
        <v>3</v>
      </c>
      <c r="E14" s="51">
        <v>3</v>
      </c>
      <c r="F14" s="51">
        <v>3</v>
      </c>
      <c r="G14" s="51">
        <v>2</v>
      </c>
      <c r="H14" s="51">
        <v>3</v>
      </c>
      <c r="I14" s="41">
        <f>MODE(C14:H14)</f>
        <v>3</v>
      </c>
      <c r="J14" s="51" t="s">
        <v>16</v>
      </c>
    </row>
    <row r="15" spans="1:10" x14ac:dyDescent="0.25">
      <c r="A15" s="38" t="s">
        <v>27</v>
      </c>
      <c r="B15" s="39" t="s">
        <v>28</v>
      </c>
      <c r="C15" s="66"/>
      <c r="D15" s="67"/>
      <c r="E15" s="67"/>
      <c r="F15" s="67"/>
      <c r="G15" s="67"/>
      <c r="H15" s="67"/>
      <c r="I15" s="68"/>
      <c r="J15" s="38" t="s">
        <v>29</v>
      </c>
    </row>
    <row r="16" spans="1:10" ht="25.5" customHeight="1" x14ac:dyDescent="0.25">
      <c r="A16" s="51">
        <v>1</v>
      </c>
      <c r="B16" s="40" t="s">
        <v>30</v>
      </c>
      <c r="C16" s="51">
        <v>3</v>
      </c>
      <c r="D16" s="51">
        <v>3</v>
      </c>
      <c r="E16" s="51">
        <v>3</v>
      </c>
      <c r="F16" s="51">
        <v>3</v>
      </c>
      <c r="G16" s="51">
        <v>2</v>
      </c>
      <c r="H16" s="51">
        <v>3</v>
      </c>
      <c r="I16" s="41">
        <f t="shared" ref="I16:I23" si="0">MODE(C16:H16)</f>
        <v>3</v>
      </c>
      <c r="J16" s="51" t="s">
        <v>23</v>
      </c>
    </row>
    <row r="17" spans="1:10" ht="25.5" customHeight="1" x14ac:dyDescent="0.25">
      <c r="A17" s="51">
        <v>2</v>
      </c>
      <c r="B17" s="40" t="s">
        <v>31</v>
      </c>
      <c r="C17" s="51">
        <v>3</v>
      </c>
      <c r="D17" s="51">
        <v>3</v>
      </c>
      <c r="E17" s="51">
        <v>3</v>
      </c>
      <c r="F17" s="51">
        <v>3</v>
      </c>
      <c r="G17" s="51">
        <v>2</v>
      </c>
      <c r="H17" s="51">
        <v>3</v>
      </c>
      <c r="I17" s="41">
        <f t="shared" si="0"/>
        <v>3</v>
      </c>
      <c r="J17" s="51" t="s">
        <v>16</v>
      </c>
    </row>
    <row r="18" spans="1:10" ht="38.25" customHeight="1" x14ac:dyDescent="0.25">
      <c r="A18" s="51">
        <v>3</v>
      </c>
      <c r="B18" s="40" t="s">
        <v>32</v>
      </c>
      <c r="C18" s="51">
        <v>3</v>
      </c>
      <c r="D18" s="51">
        <v>3</v>
      </c>
      <c r="E18" s="51">
        <v>3</v>
      </c>
      <c r="F18" s="51">
        <v>3</v>
      </c>
      <c r="G18" s="51">
        <v>3</v>
      </c>
      <c r="H18" s="51">
        <v>2</v>
      </c>
      <c r="I18" s="41">
        <f t="shared" si="0"/>
        <v>3</v>
      </c>
      <c r="J18" s="51" t="s">
        <v>16</v>
      </c>
    </row>
    <row r="19" spans="1:10" ht="25.5" customHeight="1" x14ac:dyDescent="0.25">
      <c r="A19" s="51">
        <v>4</v>
      </c>
      <c r="B19" s="40" t="s">
        <v>33</v>
      </c>
      <c r="C19" s="51">
        <v>4</v>
      </c>
      <c r="D19" s="51">
        <v>3</v>
      </c>
      <c r="E19" s="51">
        <v>3</v>
      </c>
      <c r="F19" s="51">
        <v>3</v>
      </c>
      <c r="G19" s="51">
        <v>3</v>
      </c>
      <c r="H19" s="51">
        <v>3</v>
      </c>
      <c r="I19" s="41">
        <f t="shared" si="0"/>
        <v>3</v>
      </c>
      <c r="J19" s="51" t="s">
        <v>16</v>
      </c>
    </row>
    <row r="20" spans="1:10" x14ac:dyDescent="0.25">
      <c r="A20" s="51">
        <v>5</v>
      </c>
      <c r="B20" s="40" t="s">
        <v>34</v>
      </c>
      <c r="C20" s="51">
        <v>3</v>
      </c>
      <c r="D20" s="51">
        <v>3</v>
      </c>
      <c r="E20" s="51">
        <v>4</v>
      </c>
      <c r="F20" s="51">
        <v>3</v>
      </c>
      <c r="G20" s="51">
        <v>3</v>
      </c>
      <c r="H20" s="51">
        <v>3</v>
      </c>
      <c r="I20" s="41">
        <f t="shared" si="0"/>
        <v>3</v>
      </c>
      <c r="J20" s="51" t="s">
        <v>16</v>
      </c>
    </row>
    <row r="21" spans="1:10" ht="25.5" customHeight="1" x14ac:dyDescent="0.25">
      <c r="A21" s="51">
        <v>6</v>
      </c>
      <c r="B21" s="40" t="s">
        <v>35</v>
      </c>
      <c r="C21" s="51">
        <v>3</v>
      </c>
      <c r="D21" s="51">
        <v>3</v>
      </c>
      <c r="E21" s="51">
        <v>4</v>
      </c>
      <c r="F21" s="51">
        <v>3</v>
      </c>
      <c r="G21" s="51">
        <v>3</v>
      </c>
      <c r="H21" s="51">
        <v>3</v>
      </c>
      <c r="I21" s="41">
        <f t="shared" si="0"/>
        <v>3</v>
      </c>
      <c r="J21" s="51" t="s">
        <v>16</v>
      </c>
    </row>
    <row r="22" spans="1:10" ht="25.5" customHeight="1" x14ac:dyDescent="0.25">
      <c r="A22" s="51">
        <v>7</v>
      </c>
      <c r="B22" s="40" t="s">
        <v>36</v>
      </c>
      <c r="C22" s="51">
        <v>2</v>
      </c>
      <c r="D22" s="51">
        <v>3</v>
      </c>
      <c r="E22" s="51">
        <v>3</v>
      </c>
      <c r="F22" s="51">
        <v>2</v>
      </c>
      <c r="G22" s="51">
        <v>3</v>
      </c>
      <c r="H22" s="51">
        <v>2</v>
      </c>
      <c r="I22" s="41">
        <f t="shared" si="0"/>
        <v>2</v>
      </c>
      <c r="J22" s="51" t="s">
        <v>23</v>
      </c>
    </row>
    <row r="23" spans="1:10" ht="25.5" customHeight="1" x14ac:dyDescent="0.25">
      <c r="A23" s="51">
        <v>8</v>
      </c>
      <c r="B23" s="40" t="s">
        <v>37</v>
      </c>
      <c r="C23" s="51">
        <v>3</v>
      </c>
      <c r="D23" s="51">
        <v>3</v>
      </c>
      <c r="E23" s="51">
        <v>3</v>
      </c>
      <c r="F23" s="51">
        <v>2</v>
      </c>
      <c r="G23" s="51">
        <v>3</v>
      </c>
      <c r="H23" s="51">
        <v>3</v>
      </c>
      <c r="I23" s="41">
        <f t="shared" si="0"/>
        <v>3</v>
      </c>
      <c r="J23" s="51" t="s">
        <v>16</v>
      </c>
    </row>
    <row r="24" spans="1:10" x14ac:dyDescent="0.25">
      <c r="A24" s="38" t="s">
        <v>38</v>
      </c>
      <c r="B24" s="39" t="s">
        <v>39</v>
      </c>
      <c r="C24" s="66"/>
      <c r="D24" s="67"/>
      <c r="E24" s="67"/>
      <c r="F24" s="67"/>
      <c r="G24" s="67"/>
      <c r="H24" s="67"/>
      <c r="I24" s="68"/>
      <c r="J24" s="38" t="s">
        <v>14</v>
      </c>
    </row>
    <row r="25" spans="1:10" x14ac:dyDescent="0.25">
      <c r="A25" s="51">
        <v>1</v>
      </c>
      <c r="B25" s="40" t="s">
        <v>40</v>
      </c>
      <c r="C25" s="51">
        <v>3</v>
      </c>
      <c r="D25" s="51">
        <v>3</v>
      </c>
      <c r="E25" s="51">
        <v>4</v>
      </c>
      <c r="F25" s="51">
        <v>4</v>
      </c>
      <c r="G25" s="51">
        <v>3</v>
      </c>
      <c r="H25" s="51">
        <v>3</v>
      </c>
      <c r="I25" s="41">
        <f>MODE(C25:H25)</f>
        <v>3</v>
      </c>
      <c r="J25" s="51" t="s">
        <v>16</v>
      </c>
    </row>
    <row r="26" spans="1:10" ht="38.25" customHeight="1" x14ac:dyDescent="0.25">
      <c r="A26" s="51">
        <v>2</v>
      </c>
      <c r="B26" s="40" t="s">
        <v>41</v>
      </c>
      <c r="C26" s="51">
        <v>3</v>
      </c>
      <c r="D26" s="51">
        <v>3</v>
      </c>
      <c r="E26" s="51">
        <v>4</v>
      </c>
      <c r="F26" s="51">
        <v>4</v>
      </c>
      <c r="G26" s="51">
        <v>3</v>
      </c>
      <c r="H26" s="51">
        <v>3</v>
      </c>
      <c r="I26" s="41">
        <f>MODE(C26:H26)</f>
        <v>3</v>
      </c>
      <c r="J26" s="51" t="s">
        <v>16</v>
      </c>
    </row>
    <row r="27" spans="1:10" ht="25.5" customHeight="1" x14ac:dyDescent="0.25">
      <c r="A27" s="51">
        <v>3</v>
      </c>
      <c r="B27" s="40" t="s">
        <v>42</v>
      </c>
      <c r="C27" s="51">
        <v>3</v>
      </c>
      <c r="D27" s="51">
        <v>3</v>
      </c>
      <c r="E27" s="51">
        <v>3</v>
      </c>
      <c r="F27" s="51">
        <v>4</v>
      </c>
      <c r="G27" s="51">
        <v>4</v>
      </c>
      <c r="H27" s="51">
        <v>3</v>
      </c>
      <c r="I27" s="41">
        <f>MODE(C27:H27)</f>
        <v>3</v>
      </c>
      <c r="J27" s="51" t="s">
        <v>16</v>
      </c>
    </row>
    <row r="28" spans="1:10" ht="25.5" customHeight="1" x14ac:dyDescent="0.25">
      <c r="A28" s="51">
        <v>4</v>
      </c>
      <c r="B28" s="40" t="s">
        <v>43</v>
      </c>
      <c r="C28" s="51">
        <v>3</v>
      </c>
      <c r="D28" s="51">
        <v>3</v>
      </c>
      <c r="E28" s="51">
        <v>4</v>
      </c>
      <c r="F28" s="51">
        <v>4</v>
      </c>
      <c r="G28" s="51">
        <v>3</v>
      </c>
      <c r="H28" s="51">
        <v>3</v>
      </c>
      <c r="I28" s="41">
        <f>MODE(C28:H28)</f>
        <v>3</v>
      </c>
      <c r="J28" s="51" t="s">
        <v>16</v>
      </c>
    </row>
    <row r="29" spans="1:10" ht="25.5" customHeight="1" x14ac:dyDescent="0.25">
      <c r="A29" s="38" t="s">
        <v>44</v>
      </c>
      <c r="B29" s="39" t="s">
        <v>45</v>
      </c>
      <c r="C29" s="66"/>
      <c r="D29" s="67"/>
      <c r="E29" s="67"/>
      <c r="F29" s="67"/>
      <c r="G29" s="67"/>
      <c r="H29" s="67"/>
      <c r="I29" s="68"/>
      <c r="J29" s="38" t="s">
        <v>14</v>
      </c>
    </row>
    <row r="30" spans="1:10" x14ac:dyDescent="0.25">
      <c r="A30" s="51">
        <v>1</v>
      </c>
      <c r="B30" s="40" t="s">
        <v>46</v>
      </c>
      <c r="C30" s="51">
        <v>3</v>
      </c>
      <c r="D30" s="51">
        <v>4</v>
      </c>
      <c r="E30" s="51">
        <v>3</v>
      </c>
      <c r="F30" s="51">
        <v>4</v>
      </c>
      <c r="G30" s="51">
        <v>3</v>
      </c>
      <c r="H30" s="51">
        <v>2</v>
      </c>
      <c r="I30" s="41">
        <f>MODE(C30:H30)</f>
        <v>3</v>
      </c>
      <c r="J30" s="51" t="s">
        <v>16</v>
      </c>
    </row>
    <row r="31" spans="1:10" ht="25.5" customHeight="1" x14ac:dyDescent="0.25">
      <c r="A31" s="51">
        <v>2</v>
      </c>
      <c r="B31" s="40" t="s">
        <v>47</v>
      </c>
      <c r="C31" s="51">
        <v>3</v>
      </c>
      <c r="D31" s="51">
        <v>4</v>
      </c>
      <c r="E31" s="51">
        <v>3</v>
      </c>
      <c r="F31" s="51">
        <v>4</v>
      </c>
      <c r="G31" s="51">
        <v>3</v>
      </c>
      <c r="H31" s="51">
        <v>3</v>
      </c>
      <c r="I31" s="41">
        <f>MODE(C31:H31)</f>
        <v>3</v>
      </c>
      <c r="J31" s="51" t="s">
        <v>16</v>
      </c>
    </row>
    <row r="32" spans="1:10" x14ac:dyDescent="0.25">
      <c r="A32" s="51">
        <v>3</v>
      </c>
      <c r="B32" s="40" t="s">
        <v>48</v>
      </c>
      <c r="C32" s="51">
        <v>2</v>
      </c>
      <c r="D32" s="51">
        <v>3</v>
      </c>
      <c r="E32" s="51">
        <v>3</v>
      </c>
      <c r="F32" s="51">
        <v>3</v>
      </c>
      <c r="G32" s="51">
        <v>3</v>
      </c>
      <c r="H32" s="51">
        <v>2</v>
      </c>
      <c r="I32" s="41">
        <f>MODE(C32:H32)</f>
        <v>3</v>
      </c>
      <c r="J32" s="51" t="s">
        <v>16</v>
      </c>
    </row>
    <row r="33" spans="1:10" ht="25.5" customHeight="1" x14ac:dyDescent="0.25">
      <c r="A33" s="38" t="s">
        <v>49</v>
      </c>
      <c r="B33" s="39" t="s">
        <v>50</v>
      </c>
      <c r="C33" s="66"/>
      <c r="D33" s="67"/>
      <c r="E33" s="67"/>
      <c r="F33" s="67"/>
      <c r="G33" s="67"/>
      <c r="H33" s="67"/>
      <c r="I33" s="68"/>
      <c r="J33" s="38" t="s">
        <v>29</v>
      </c>
    </row>
    <row r="34" spans="1:10" ht="38.25" customHeight="1" x14ac:dyDescent="0.25">
      <c r="A34" s="51">
        <v>1</v>
      </c>
      <c r="B34" s="40" t="s">
        <v>51</v>
      </c>
      <c r="C34" s="51">
        <v>2</v>
      </c>
      <c r="D34" s="51">
        <v>3</v>
      </c>
      <c r="E34" s="51">
        <v>2</v>
      </c>
      <c r="F34" s="51">
        <v>3</v>
      </c>
      <c r="G34" s="51">
        <v>3</v>
      </c>
      <c r="H34" s="51">
        <v>3</v>
      </c>
      <c r="I34" s="41">
        <f t="shared" ref="I34:I40" si="1">MODE(C34:H34)</f>
        <v>3</v>
      </c>
      <c r="J34" s="51" t="s">
        <v>16</v>
      </c>
    </row>
    <row r="35" spans="1:10" ht="25.5" customHeight="1" x14ac:dyDescent="0.25">
      <c r="A35" s="51">
        <v>2</v>
      </c>
      <c r="B35" s="40" t="s">
        <v>52</v>
      </c>
      <c r="C35" s="51">
        <v>2</v>
      </c>
      <c r="D35" s="51">
        <v>3</v>
      </c>
      <c r="E35" s="51">
        <v>2</v>
      </c>
      <c r="F35" s="51">
        <v>3</v>
      </c>
      <c r="G35" s="51">
        <v>3</v>
      </c>
      <c r="H35" s="51">
        <v>2</v>
      </c>
      <c r="I35" s="41">
        <f t="shared" si="1"/>
        <v>2</v>
      </c>
      <c r="J35" s="51" t="s">
        <v>16</v>
      </c>
    </row>
    <row r="36" spans="1:10" x14ac:dyDescent="0.25">
      <c r="A36" s="51">
        <v>3</v>
      </c>
      <c r="B36" s="40" t="s">
        <v>53</v>
      </c>
      <c r="C36" s="51">
        <v>3</v>
      </c>
      <c r="D36" s="51">
        <v>4</v>
      </c>
      <c r="E36" s="51">
        <v>3</v>
      </c>
      <c r="F36" s="51">
        <v>1</v>
      </c>
      <c r="G36" s="51">
        <v>4</v>
      </c>
      <c r="H36" s="51">
        <v>3</v>
      </c>
      <c r="I36" s="41">
        <f t="shared" si="1"/>
        <v>3</v>
      </c>
      <c r="J36" s="51" t="s">
        <v>16</v>
      </c>
    </row>
    <row r="37" spans="1:10" x14ac:dyDescent="0.25">
      <c r="A37" s="51">
        <v>4</v>
      </c>
      <c r="B37" s="40" t="s">
        <v>54</v>
      </c>
      <c r="C37" s="51">
        <v>2</v>
      </c>
      <c r="D37" s="51">
        <v>3</v>
      </c>
      <c r="E37" s="51">
        <v>2</v>
      </c>
      <c r="F37" s="51">
        <v>2</v>
      </c>
      <c r="G37" s="51">
        <v>3</v>
      </c>
      <c r="H37" s="51">
        <v>2</v>
      </c>
      <c r="I37" s="41">
        <f t="shared" si="1"/>
        <v>2</v>
      </c>
      <c r="J37" s="51" t="s">
        <v>16</v>
      </c>
    </row>
    <row r="38" spans="1:10" ht="38.25" customHeight="1" x14ac:dyDescent="0.25">
      <c r="A38" s="51">
        <v>5</v>
      </c>
      <c r="B38" s="40" t="s">
        <v>55</v>
      </c>
      <c r="C38" s="51">
        <v>2</v>
      </c>
      <c r="D38" s="51">
        <v>3</v>
      </c>
      <c r="E38" s="51">
        <v>2</v>
      </c>
      <c r="F38" s="51">
        <v>2</v>
      </c>
      <c r="G38" s="51">
        <v>4</v>
      </c>
      <c r="H38" s="51">
        <v>3</v>
      </c>
      <c r="I38" s="41">
        <f t="shared" si="1"/>
        <v>2</v>
      </c>
      <c r="J38" s="51" t="s">
        <v>23</v>
      </c>
    </row>
    <row r="39" spans="1:10" ht="25.5" customHeight="1" x14ac:dyDescent="0.25">
      <c r="A39" s="51">
        <v>6</v>
      </c>
      <c r="B39" s="40" t="s">
        <v>56</v>
      </c>
      <c r="C39" s="51">
        <v>2</v>
      </c>
      <c r="D39" s="51">
        <v>3</v>
      </c>
      <c r="E39" s="51">
        <v>2</v>
      </c>
      <c r="F39" s="51">
        <v>2</v>
      </c>
      <c r="G39" s="51">
        <v>3</v>
      </c>
      <c r="H39" s="51">
        <v>3</v>
      </c>
      <c r="I39" s="41">
        <f t="shared" si="1"/>
        <v>2</v>
      </c>
      <c r="J39" s="51" t="s">
        <v>23</v>
      </c>
    </row>
    <row r="40" spans="1:10" ht="25.5" customHeight="1" x14ac:dyDescent="0.25">
      <c r="A40" s="51">
        <v>7</v>
      </c>
      <c r="B40" s="40" t="s">
        <v>57</v>
      </c>
      <c r="C40" s="51">
        <v>2</v>
      </c>
      <c r="D40" s="51">
        <v>3</v>
      </c>
      <c r="E40" s="51">
        <v>2</v>
      </c>
      <c r="F40" s="51">
        <v>1</v>
      </c>
      <c r="G40" s="51">
        <v>3</v>
      </c>
      <c r="H40" s="51">
        <v>2</v>
      </c>
      <c r="I40" s="41">
        <f t="shared" si="1"/>
        <v>2</v>
      </c>
      <c r="J40" s="51" t="s">
        <v>23</v>
      </c>
    </row>
    <row r="41" spans="1:10" ht="25.5" customHeight="1" x14ac:dyDescent="0.25">
      <c r="A41" s="38" t="s">
        <v>58</v>
      </c>
      <c r="B41" s="39" t="s">
        <v>59</v>
      </c>
      <c r="C41" s="66"/>
      <c r="D41" s="67"/>
      <c r="E41" s="67"/>
      <c r="F41" s="67"/>
      <c r="G41" s="67"/>
      <c r="H41" s="67"/>
      <c r="I41" s="68"/>
      <c r="J41" s="38" t="s">
        <v>14</v>
      </c>
    </row>
    <row r="42" spans="1:10" ht="25.5" customHeight="1" x14ac:dyDescent="0.25">
      <c r="A42" s="51">
        <v>1</v>
      </c>
      <c r="B42" s="40" t="s">
        <v>60</v>
      </c>
      <c r="C42" s="51">
        <v>3</v>
      </c>
      <c r="D42" s="51">
        <v>3</v>
      </c>
      <c r="E42" s="51">
        <v>3</v>
      </c>
      <c r="F42" s="51">
        <v>4</v>
      </c>
      <c r="G42" s="51">
        <v>3</v>
      </c>
      <c r="H42" s="51">
        <v>3</v>
      </c>
      <c r="I42" s="41">
        <f>MODE(C42:H42)</f>
        <v>3</v>
      </c>
      <c r="J42" s="51" t="s">
        <v>16</v>
      </c>
    </row>
    <row r="45" spans="1:10" x14ac:dyDescent="0.25">
      <c r="A45" s="49" t="s">
        <v>61</v>
      </c>
    </row>
    <row r="46" spans="1:10" x14ac:dyDescent="0.25">
      <c r="A46" s="49" t="s">
        <v>62</v>
      </c>
    </row>
    <row r="47" spans="1:10" x14ac:dyDescent="0.25">
      <c r="A47" s="49" t="s">
        <v>63</v>
      </c>
    </row>
    <row r="48" spans="1:10" x14ac:dyDescent="0.25">
      <c r="A48" s="49" t="s">
        <v>64</v>
      </c>
    </row>
    <row r="49" spans="1:1" x14ac:dyDescent="0.25">
      <c r="A49" s="49" t="s">
        <v>65</v>
      </c>
    </row>
    <row r="50" spans="1:1" x14ac:dyDescent="0.25">
      <c r="A50" s="49" t="s">
        <v>66</v>
      </c>
    </row>
    <row r="51" spans="1:1" x14ac:dyDescent="0.25">
      <c r="A51" s="49" t="s">
        <v>67</v>
      </c>
    </row>
    <row r="52" spans="1:1" x14ac:dyDescent="0.25">
      <c r="A52" s="49" t="s">
        <v>68</v>
      </c>
    </row>
    <row r="53" spans="1:1" x14ac:dyDescent="0.25">
      <c r="A53" s="49" t="s">
        <v>69</v>
      </c>
    </row>
    <row r="54" spans="1:1" x14ac:dyDescent="0.25">
      <c r="A54" s="49" t="s">
        <v>70</v>
      </c>
    </row>
    <row r="55" spans="1:1" x14ac:dyDescent="0.25">
      <c r="A55" s="49" t="s">
        <v>71</v>
      </c>
    </row>
    <row r="56" spans="1:1" x14ac:dyDescent="0.25">
      <c r="A56" s="49" t="s">
        <v>72</v>
      </c>
    </row>
    <row r="57" spans="1:1" x14ac:dyDescent="0.25">
      <c r="A57" s="49" t="s">
        <v>73</v>
      </c>
    </row>
    <row r="58" spans="1:1" x14ac:dyDescent="0.25">
      <c r="A58" s="49" t="s">
        <v>74</v>
      </c>
    </row>
    <row r="59" spans="1:1" x14ac:dyDescent="0.25">
      <c r="A59" s="49" t="s">
        <v>75</v>
      </c>
    </row>
    <row r="60" spans="1:1" x14ac:dyDescent="0.25">
      <c r="A60" s="49" t="s">
        <v>76</v>
      </c>
    </row>
  </sheetData>
  <mergeCells count="13">
    <mergeCell ref="C33:I33"/>
    <mergeCell ref="C41:I41"/>
    <mergeCell ref="C5:I5"/>
    <mergeCell ref="C29:I29"/>
    <mergeCell ref="C10:I10"/>
    <mergeCell ref="C24:I24"/>
    <mergeCell ref="C3:H3"/>
    <mergeCell ref="C15:I15"/>
    <mergeCell ref="A1:J1"/>
    <mergeCell ref="B3:B4"/>
    <mergeCell ref="A3:A4"/>
    <mergeCell ref="I3:I4"/>
    <mergeCell ref="J3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A4" workbookViewId="0">
      <selection activeCell="D18" sqref="D18"/>
    </sheetView>
  </sheetViews>
  <sheetFormatPr defaultRowHeight="15" x14ac:dyDescent="0.25"/>
  <cols>
    <col min="1" max="1" width="6.42578125" style="49" customWidth="1"/>
    <col min="2" max="2" width="14" style="49" customWidth="1"/>
    <col min="3" max="3" width="35" style="49" customWidth="1"/>
    <col min="4" max="4" width="45" style="49" customWidth="1"/>
    <col min="5" max="5" width="20" style="49" customWidth="1"/>
    <col min="6" max="6" width="35" style="49" customWidth="1"/>
    <col min="7" max="7" width="9.140625" style="49" customWidth="1"/>
    <col min="8" max="16384" width="9.140625" style="49"/>
  </cols>
  <sheetData>
    <row r="1" spans="1:6" ht="17.25" customHeight="1" x14ac:dyDescent="0.25">
      <c r="A1" s="70" t="s">
        <v>77</v>
      </c>
      <c r="B1" s="63"/>
      <c r="C1" s="63"/>
      <c r="D1" s="63"/>
      <c r="E1" s="63"/>
      <c r="F1" s="63"/>
    </row>
    <row r="2" spans="1:6" x14ac:dyDescent="0.25">
      <c r="A2" s="48" t="s">
        <v>78</v>
      </c>
      <c r="B2" s="48"/>
      <c r="C2" s="42" t="s">
        <v>79</v>
      </c>
    </row>
    <row r="3" spans="1:6" x14ac:dyDescent="0.25">
      <c r="A3" s="48" t="s">
        <v>80</v>
      </c>
      <c r="B3" s="48"/>
      <c r="C3" s="42" t="s">
        <v>81</v>
      </c>
    </row>
    <row r="4" spans="1:6" x14ac:dyDescent="0.25">
      <c r="A4" s="48" t="s">
        <v>82</v>
      </c>
      <c r="B4" s="48"/>
      <c r="C4" s="42" t="s">
        <v>83</v>
      </c>
    </row>
    <row r="6" spans="1:6" x14ac:dyDescent="0.25">
      <c r="A6" s="50" t="s">
        <v>84</v>
      </c>
      <c r="B6" s="64" t="s">
        <v>85</v>
      </c>
      <c r="C6" s="68"/>
      <c r="D6" s="50" t="s">
        <v>86</v>
      </c>
      <c r="E6" s="50" t="s">
        <v>87</v>
      </c>
      <c r="F6" s="50" t="s">
        <v>88</v>
      </c>
    </row>
    <row r="7" spans="1:6" x14ac:dyDescent="0.25">
      <c r="A7" s="52" t="s">
        <v>12</v>
      </c>
      <c r="B7" s="69" t="s">
        <v>20</v>
      </c>
      <c r="C7" s="68"/>
      <c r="D7" s="52" t="s">
        <v>27</v>
      </c>
      <c r="E7" s="52" t="s">
        <v>38</v>
      </c>
      <c r="F7" s="52" t="s">
        <v>44</v>
      </c>
    </row>
    <row r="8" spans="1:6" ht="48" x14ac:dyDescent="0.25">
      <c r="A8" s="102">
        <v>1</v>
      </c>
      <c r="B8" s="103" t="s">
        <v>89</v>
      </c>
      <c r="C8" s="104"/>
      <c r="D8" s="105" t="s">
        <v>90</v>
      </c>
      <c r="E8" s="105" t="s">
        <v>91</v>
      </c>
      <c r="F8" s="105" t="s">
        <v>92</v>
      </c>
    </row>
    <row r="9" spans="1:6" ht="25.5" customHeight="1" x14ac:dyDescent="0.25">
      <c r="A9" s="106">
        <v>2</v>
      </c>
      <c r="B9" s="107" t="s">
        <v>93</v>
      </c>
      <c r="C9" s="104"/>
      <c r="D9" s="105" t="s">
        <v>94</v>
      </c>
      <c r="E9" s="105" t="s">
        <v>95</v>
      </c>
      <c r="F9" s="105" t="s">
        <v>96</v>
      </c>
    </row>
    <row r="10" spans="1:6" ht="72" x14ac:dyDescent="0.25">
      <c r="A10" s="102">
        <v>3</v>
      </c>
      <c r="B10" s="103" t="s">
        <v>93</v>
      </c>
      <c r="C10" s="104"/>
      <c r="D10" s="105" t="s">
        <v>97</v>
      </c>
      <c r="E10" s="105" t="s">
        <v>98</v>
      </c>
      <c r="F10" s="105" t="s">
        <v>99</v>
      </c>
    </row>
    <row r="11" spans="1:6" ht="48" x14ac:dyDescent="0.25">
      <c r="A11" s="106">
        <v>4</v>
      </c>
      <c r="B11" s="107" t="s">
        <v>100</v>
      </c>
      <c r="C11" s="104"/>
      <c r="D11" s="105" t="s">
        <v>101</v>
      </c>
      <c r="E11" s="105" t="s">
        <v>102</v>
      </c>
      <c r="F11" s="105" t="s">
        <v>103</v>
      </c>
    </row>
  </sheetData>
  <mergeCells count="7">
    <mergeCell ref="B6:C6"/>
    <mergeCell ref="B7:C7"/>
    <mergeCell ref="B11:C11"/>
    <mergeCell ref="A1:F1"/>
    <mergeCell ref="B10:C10"/>
    <mergeCell ref="B9:C9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22" workbookViewId="0">
      <selection activeCell="B10" sqref="B10:D10"/>
    </sheetView>
  </sheetViews>
  <sheetFormatPr defaultRowHeight="15" x14ac:dyDescent="0.25"/>
  <cols>
    <col min="1" max="1" width="24.5703125" style="1" customWidth="1"/>
    <col min="2" max="2" width="11.7109375" style="2" customWidth="1"/>
    <col min="3" max="3" width="61.85546875" style="9" customWidth="1"/>
    <col min="4" max="4" width="10.42578125" style="3" customWidth="1"/>
  </cols>
  <sheetData>
    <row r="1" spans="1:4" ht="24.75" customHeight="1" x14ac:dyDescent="0.25">
      <c r="A1" s="30" t="s">
        <v>104</v>
      </c>
    </row>
    <row r="2" spans="1:4" ht="15" customHeight="1" x14ac:dyDescent="0.25">
      <c r="A2" s="10" t="s">
        <v>105</v>
      </c>
      <c r="B2" s="75" t="s">
        <v>106</v>
      </c>
      <c r="C2" s="67"/>
      <c r="D2" s="68"/>
    </row>
    <row r="3" spans="1:4" ht="15" customHeight="1" x14ac:dyDescent="0.25">
      <c r="A3" s="11" t="s">
        <v>78</v>
      </c>
      <c r="B3" s="71" t="s">
        <v>107</v>
      </c>
      <c r="C3" s="67"/>
      <c r="D3" s="68"/>
    </row>
    <row r="4" spans="1:4" x14ac:dyDescent="0.25">
      <c r="A4" s="11" t="s">
        <v>80</v>
      </c>
      <c r="B4" s="71" t="s">
        <v>81</v>
      </c>
      <c r="C4" s="67"/>
      <c r="D4" s="68"/>
    </row>
    <row r="5" spans="1:4" x14ac:dyDescent="0.25">
      <c r="A5" s="11" t="s">
        <v>108</v>
      </c>
      <c r="B5" s="71" t="s">
        <v>109</v>
      </c>
      <c r="C5" s="67"/>
      <c r="D5" s="68"/>
    </row>
    <row r="6" spans="1:4" ht="15" customHeight="1" x14ac:dyDescent="0.25">
      <c r="A6" s="11" t="s">
        <v>110</v>
      </c>
      <c r="B6" s="71" t="s">
        <v>111</v>
      </c>
      <c r="C6" s="67"/>
      <c r="D6" s="68"/>
    </row>
    <row r="7" spans="1:4" ht="15" customHeight="1" x14ac:dyDescent="0.25">
      <c r="A7" s="11" t="s">
        <v>112</v>
      </c>
      <c r="B7" s="71" t="s">
        <v>113</v>
      </c>
      <c r="C7" s="67"/>
      <c r="D7" s="68"/>
    </row>
    <row r="8" spans="1:4" ht="15" customHeight="1" x14ac:dyDescent="0.25">
      <c r="A8" s="11" t="s">
        <v>85</v>
      </c>
      <c r="B8" s="71" t="s">
        <v>114</v>
      </c>
      <c r="C8" s="67"/>
      <c r="D8" s="68"/>
    </row>
    <row r="9" spans="1:4" ht="33.75" customHeight="1" x14ac:dyDescent="0.25">
      <c r="A9" s="11" t="s">
        <v>115</v>
      </c>
      <c r="B9" s="71" t="s">
        <v>116</v>
      </c>
      <c r="C9" s="67"/>
      <c r="D9" s="68"/>
    </row>
    <row r="10" spans="1:4" ht="51" customHeight="1" x14ac:dyDescent="0.25">
      <c r="A10" s="11" t="s">
        <v>117</v>
      </c>
      <c r="B10" s="71" t="s">
        <v>118</v>
      </c>
      <c r="C10" s="67"/>
      <c r="D10" s="68"/>
    </row>
    <row r="11" spans="1:4" ht="24.75" customHeight="1" x14ac:dyDescent="0.25">
      <c r="A11" s="14" t="s">
        <v>119</v>
      </c>
      <c r="B11" s="72" t="s">
        <v>120</v>
      </c>
      <c r="C11" s="68"/>
      <c r="D11" s="12">
        <v>2026</v>
      </c>
    </row>
    <row r="12" spans="1:4" ht="24.75" customHeight="1" x14ac:dyDescent="0.25">
      <c r="A12" s="15"/>
      <c r="B12" s="53">
        <v>1</v>
      </c>
      <c r="C12" s="55" t="s">
        <v>121</v>
      </c>
      <c r="D12" s="12">
        <v>7.94</v>
      </c>
    </row>
    <row r="13" spans="1:4" ht="24.75" customHeight="1" x14ac:dyDescent="0.25">
      <c r="A13" s="15"/>
      <c r="B13" s="53">
        <v>2</v>
      </c>
      <c r="C13" s="55" t="s">
        <v>122</v>
      </c>
      <c r="D13" s="12">
        <v>12.71</v>
      </c>
    </row>
    <row r="14" spans="1:4" ht="24.75" customHeight="1" x14ac:dyDescent="0.25">
      <c r="A14" s="15"/>
      <c r="B14" s="53">
        <v>3</v>
      </c>
      <c r="C14" s="55" t="s">
        <v>123</v>
      </c>
      <c r="D14" s="12">
        <v>100</v>
      </c>
    </row>
    <row r="15" spans="1:4" ht="24.75" customHeight="1" x14ac:dyDescent="0.25">
      <c r="A15" s="15"/>
      <c r="B15" s="53">
        <v>4</v>
      </c>
      <c r="C15" s="55" t="s">
        <v>124</v>
      </c>
      <c r="D15" s="12">
        <v>75</v>
      </c>
    </row>
    <row r="16" spans="1:4" ht="24.75" customHeight="1" x14ac:dyDescent="0.25">
      <c r="A16" s="15"/>
      <c r="B16" s="53">
        <v>5</v>
      </c>
      <c r="C16" s="13" t="s">
        <v>125</v>
      </c>
      <c r="D16" s="12">
        <v>6.93</v>
      </c>
    </row>
    <row r="17" spans="1:4" ht="41.25" customHeight="1" x14ac:dyDescent="0.25">
      <c r="A17" s="15"/>
      <c r="B17" s="53">
        <v>6</v>
      </c>
      <c r="C17" s="13" t="s">
        <v>126</v>
      </c>
      <c r="D17" s="12">
        <v>10</v>
      </c>
    </row>
    <row r="18" spans="1:4" ht="41.25" customHeight="1" x14ac:dyDescent="0.25">
      <c r="A18" s="15"/>
      <c r="B18" s="53">
        <v>7</v>
      </c>
      <c r="C18" s="13" t="s">
        <v>127</v>
      </c>
      <c r="D18" s="12">
        <v>61.82</v>
      </c>
    </row>
    <row r="19" spans="1:4" ht="41.25" customHeight="1" x14ac:dyDescent="0.25">
      <c r="A19" s="15"/>
      <c r="B19" s="53">
        <v>8</v>
      </c>
      <c r="C19" s="13" t="s">
        <v>128</v>
      </c>
      <c r="D19" s="12">
        <v>57.24</v>
      </c>
    </row>
    <row r="20" spans="1:4" ht="41.25" customHeight="1" x14ac:dyDescent="0.25">
      <c r="A20" s="15"/>
      <c r="B20" s="53">
        <v>9</v>
      </c>
      <c r="C20" s="13" t="s">
        <v>129</v>
      </c>
      <c r="D20" s="12">
        <v>80</v>
      </c>
    </row>
    <row r="21" spans="1:4" ht="41.25" customHeight="1" x14ac:dyDescent="0.25">
      <c r="A21" s="15"/>
      <c r="B21" s="53">
        <v>10</v>
      </c>
      <c r="C21" s="13" t="s">
        <v>130</v>
      </c>
      <c r="D21" s="12">
        <v>74</v>
      </c>
    </row>
    <row r="22" spans="1:4" ht="41.25" customHeight="1" x14ac:dyDescent="0.25">
      <c r="A22" s="15"/>
      <c r="B22" s="53">
        <v>11</v>
      </c>
      <c r="C22" s="13" t="s">
        <v>131</v>
      </c>
      <c r="D22" s="12">
        <v>5</v>
      </c>
    </row>
    <row r="23" spans="1:4" ht="41.25" customHeight="1" x14ac:dyDescent="0.25">
      <c r="A23" s="19"/>
      <c r="B23" s="53">
        <v>12</v>
      </c>
      <c r="C23" s="13" t="s">
        <v>132</v>
      </c>
      <c r="D23" s="12">
        <v>5</v>
      </c>
    </row>
    <row r="24" spans="1:4" ht="41.25" customHeight="1" x14ac:dyDescent="0.25">
      <c r="A24" s="20" t="s">
        <v>133</v>
      </c>
      <c r="B24" s="16" t="s">
        <v>134</v>
      </c>
      <c r="C24" s="72" t="s">
        <v>135</v>
      </c>
      <c r="D24" s="68"/>
    </row>
    <row r="25" spans="1:4" x14ac:dyDescent="0.25">
      <c r="A25" s="21"/>
      <c r="B25" s="17" t="s">
        <v>136</v>
      </c>
      <c r="C25" s="73" t="s">
        <v>137</v>
      </c>
      <c r="D25" s="68"/>
    </row>
    <row r="26" spans="1:4" x14ac:dyDescent="0.25">
      <c r="A26" s="22"/>
      <c r="B26" s="18"/>
      <c r="C26" s="74" t="s">
        <v>138</v>
      </c>
      <c r="D26" s="68"/>
    </row>
  </sheetData>
  <mergeCells count="13">
    <mergeCell ref="C26:D26"/>
    <mergeCell ref="B6:D6"/>
    <mergeCell ref="B2:D2"/>
    <mergeCell ref="C25:D25"/>
    <mergeCell ref="B8:D8"/>
    <mergeCell ref="B4:D4"/>
    <mergeCell ref="B9:D9"/>
    <mergeCell ref="B7:D7"/>
    <mergeCell ref="B10:D10"/>
    <mergeCell ref="B3:D3"/>
    <mergeCell ref="B5:D5"/>
    <mergeCell ref="C24:D24"/>
    <mergeCell ref="B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10" workbookViewId="0">
      <selection activeCell="E15" sqref="E15"/>
    </sheetView>
  </sheetViews>
  <sheetFormatPr defaultRowHeight="15" x14ac:dyDescent="0.25"/>
  <cols>
    <col min="1" max="1" width="7.28515625" style="60" customWidth="1"/>
    <col min="2" max="2" width="20.42578125" style="60" customWidth="1"/>
    <col min="3" max="3" width="26.140625" style="60" customWidth="1"/>
    <col min="4" max="4" width="57" style="60" customWidth="1"/>
    <col min="5" max="5" width="33.7109375" style="4" customWidth="1"/>
  </cols>
  <sheetData>
    <row r="1" spans="1:5" ht="24.75" customHeight="1" x14ac:dyDescent="0.25">
      <c r="A1" s="76" t="s">
        <v>139</v>
      </c>
      <c r="B1" s="77"/>
      <c r="C1" s="77"/>
      <c r="D1" s="77"/>
      <c r="E1" s="77"/>
    </row>
    <row r="2" spans="1:5" ht="15" customHeight="1" x14ac:dyDescent="0.25">
      <c r="A2" s="78" t="s">
        <v>105</v>
      </c>
      <c r="B2" s="68"/>
      <c r="C2" s="75" t="s">
        <v>106</v>
      </c>
      <c r="D2" s="67"/>
      <c r="E2" s="68"/>
    </row>
    <row r="3" spans="1:5" ht="15" customHeight="1" x14ac:dyDescent="0.25">
      <c r="A3" s="11" t="s">
        <v>78</v>
      </c>
      <c r="B3" s="13"/>
      <c r="C3" s="71" t="s">
        <v>107</v>
      </c>
      <c r="D3" s="67"/>
      <c r="E3" s="68"/>
    </row>
    <row r="4" spans="1:5" x14ac:dyDescent="0.25">
      <c r="A4" s="11" t="s">
        <v>80</v>
      </c>
      <c r="B4" s="13"/>
      <c r="C4" s="71" t="s">
        <v>81</v>
      </c>
      <c r="D4" s="67"/>
      <c r="E4" s="68"/>
    </row>
    <row r="5" spans="1:5" x14ac:dyDescent="0.25">
      <c r="A5" s="11" t="s">
        <v>108</v>
      </c>
      <c r="B5" s="13"/>
      <c r="C5" s="71" t="s">
        <v>140</v>
      </c>
      <c r="D5" s="67"/>
      <c r="E5" s="68"/>
    </row>
    <row r="6" spans="1:5" ht="15" customHeight="1" x14ac:dyDescent="0.25">
      <c r="A6" s="11" t="s">
        <v>110</v>
      </c>
      <c r="B6" s="13"/>
      <c r="C6" s="71" t="s">
        <v>111</v>
      </c>
      <c r="D6" s="67"/>
      <c r="E6" s="68"/>
    </row>
    <row r="7" spans="1:5" ht="15" customHeight="1" x14ac:dyDescent="0.25">
      <c r="A7" s="11" t="s">
        <v>112</v>
      </c>
      <c r="B7" s="13"/>
      <c r="C7" s="71" t="s">
        <v>113</v>
      </c>
      <c r="D7" s="67"/>
      <c r="E7" s="68"/>
    </row>
    <row r="8" spans="1:5" ht="15" customHeight="1" x14ac:dyDescent="0.25">
      <c r="A8" s="11" t="s">
        <v>85</v>
      </c>
      <c r="B8" s="13"/>
      <c r="C8" s="71" t="s">
        <v>114</v>
      </c>
      <c r="D8" s="67"/>
      <c r="E8" s="68"/>
    </row>
    <row r="9" spans="1:5" ht="33.75" customHeight="1" x14ac:dyDescent="0.25">
      <c r="A9" s="11" t="s">
        <v>115</v>
      </c>
      <c r="B9" s="13"/>
      <c r="C9" s="71" t="s">
        <v>116</v>
      </c>
      <c r="D9" s="67"/>
      <c r="E9" s="68"/>
    </row>
    <row r="10" spans="1:5" ht="51" customHeight="1" x14ac:dyDescent="0.25">
      <c r="A10" s="11" t="s">
        <v>117</v>
      </c>
      <c r="B10" s="13"/>
      <c r="C10" s="71" t="s">
        <v>118</v>
      </c>
      <c r="D10" s="67"/>
      <c r="E10" s="68"/>
    </row>
    <row r="11" spans="1:5" x14ac:dyDescent="0.25">
      <c r="A11" s="30"/>
      <c r="B11" s="30"/>
    </row>
    <row r="12" spans="1:5" ht="25.5" customHeight="1" x14ac:dyDescent="0.25">
      <c r="A12" s="54" t="s">
        <v>84</v>
      </c>
      <c r="B12" s="75" t="s">
        <v>141</v>
      </c>
      <c r="C12" s="68"/>
      <c r="D12" s="54" t="s">
        <v>142</v>
      </c>
      <c r="E12" s="5" t="s">
        <v>143</v>
      </c>
    </row>
    <row r="13" spans="1:5" ht="27.75" customHeight="1" x14ac:dyDescent="0.25">
      <c r="A13" s="53" t="s">
        <v>144</v>
      </c>
      <c r="B13" s="71" t="s">
        <v>145</v>
      </c>
      <c r="C13" s="68"/>
      <c r="D13" s="6"/>
      <c r="E13" s="61">
        <v>213791574552</v>
      </c>
    </row>
    <row r="14" spans="1:5" ht="27.75" customHeight="1" x14ac:dyDescent="0.25">
      <c r="A14" s="53" t="s">
        <v>146</v>
      </c>
      <c r="B14" s="71" t="s">
        <v>147</v>
      </c>
      <c r="C14" s="68"/>
      <c r="D14" s="55" t="s">
        <v>148</v>
      </c>
      <c r="E14" s="8">
        <v>213407598972</v>
      </c>
    </row>
    <row r="15" spans="1:5" ht="27.75" customHeight="1" x14ac:dyDescent="0.25">
      <c r="A15" s="53" t="s">
        <v>149</v>
      </c>
      <c r="B15" s="71" t="s">
        <v>150</v>
      </c>
      <c r="C15" s="68"/>
      <c r="D15" s="55" t="s">
        <v>151</v>
      </c>
      <c r="E15" s="8">
        <v>245143780</v>
      </c>
    </row>
    <row r="16" spans="1:5" ht="27.75" customHeight="1" x14ac:dyDescent="0.25">
      <c r="A16" s="53" t="s">
        <v>152</v>
      </c>
      <c r="B16" s="71" t="s">
        <v>153</v>
      </c>
      <c r="C16" s="68"/>
      <c r="D16" s="55" t="s">
        <v>154</v>
      </c>
      <c r="E16" s="8">
        <v>49950000</v>
      </c>
    </row>
    <row r="17" spans="1:5" ht="27.75" customHeight="1" x14ac:dyDescent="0.25">
      <c r="A17" s="53" t="s">
        <v>155</v>
      </c>
      <c r="B17" s="71" t="s">
        <v>156</v>
      </c>
      <c r="C17" s="68"/>
      <c r="D17" s="55" t="s">
        <v>157</v>
      </c>
      <c r="E17" s="8">
        <v>33456800</v>
      </c>
    </row>
    <row r="18" spans="1:5" ht="27.75" customHeight="1" x14ac:dyDescent="0.25">
      <c r="A18" s="53" t="s">
        <v>158</v>
      </c>
      <c r="B18" s="71" t="s">
        <v>159</v>
      </c>
      <c r="C18" s="68"/>
      <c r="D18" s="55" t="s">
        <v>160</v>
      </c>
      <c r="E18" s="8">
        <v>10775000</v>
      </c>
    </row>
    <row r="19" spans="1:5" ht="27.75" customHeight="1" x14ac:dyDescent="0.25">
      <c r="A19" s="53" t="s">
        <v>161</v>
      </c>
      <c r="B19" s="71" t="s">
        <v>162</v>
      </c>
      <c r="C19" s="68"/>
      <c r="D19" s="55" t="s">
        <v>163</v>
      </c>
      <c r="E19" s="8">
        <v>9470000</v>
      </c>
    </row>
    <row r="20" spans="1:5" ht="27.75" customHeight="1" x14ac:dyDescent="0.25">
      <c r="A20" s="53" t="s">
        <v>164</v>
      </c>
      <c r="B20" s="71" t="s">
        <v>165</v>
      </c>
      <c r="C20" s="68"/>
      <c r="D20" s="55" t="s">
        <v>166</v>
      </c>
      <c r="E20" s="8">
        <v>0</v>
      </c>
    </row>
    <row r="21" spans="1:5" ht="27.75" customHeight="1" x14ac:dyDescent="0.25">
      <c r="A21" s="53" t="s">
        <v>167</v>
      </c>
      <c r="B21" s="71" t="s">
        <v>168</v>
      </c>
      <c r="C21" s="68"/>
      <c r="D21" s="6"/>
      <c r="E21" s="7">
        <v>26386991000</v>
      </c>
    </row>
    <row r="22" spans="1:5" ht="27.75" customHeight="1" x14ac:dyDescent="0.25">
      <c r="A22" s="53" t="s">
        <v>169</v>
      </c>
      <c r="B22" s="71" t="s">
        <v>170</v>
      </c>
      <c r="C22" s="68"/>
      <c r="D22" s="55" t="s">
        <v>171</v>
      </c>
      <c r="E22" s="8">
        <v>14909340000</v>
      </c>
    </row>
    <row r="23" spans="1:5" ht="27.75" customHeight="1" x14ac:dyDescent="0.25">
      <c r="A23" s="53" t="s">
        <v>172</v>
      </c>
      <c r="B23" s="71" t="s">
        <v>173</v>
      </c>
      <c r="C23" s="68"/>
      <c r="D23" s="55" t="s">
        <v>174</v>
      </c>
      <c r="E23" s="8">
        <v>5833660000</v>
      </c>
    </row>
    <row r="24" spans="1:5" ht="27.75" customHeight="1" x14ac:dyDescent="0.25">
      <c r="A24" s="53" t="s">
        <v>175</v>
      </c>
      <c r="B24" s="71" t="s">
        <v>176</v>
      </c>
      <c r="C24" s="68"/>
      <c r="D24" s="55" t="s">
        <v>177</v>
      </c>
      <c r="E24" s="8">
        <v>4004700000</v>
      </c>
    </row>
    <row r="25" spans="1:5" ht="27.75" customHeight="1" x14ac:dyDescent="0.25">
      <c r="A25" s="53" t="s">
        <v>178</v>
      </c>
      <c r="B25" s="71" t="s">
        <v>179</v>
      </c>
      <c r="C25" s="68"/>
      <c r="D25" s="55" t="s">
        <v>180</v>
      </c>
      <c r="E25" s="8">
        <v>1167900000</v>
      </c>
    </row>
    <row r="26" spans="1:5" ht="27.75" customHeight="1" x14ac:dyDescent="0.25">
      <c r="A26" s="53" t="s">
        <v>181</v>
      </c>
      <c r="B26" s="71" t="s">
        <v>182</v>
      </c>
      <c r="C26" s="68"/>
      <c r="D26" s="55" t="s">
        <v>183</v>
      </c>
      <c r="E26" s="8">
        <v>132272000</v>
      </c>
    </row>
    <row r="27" spans="1:5" ht="27.75" customHeight="1" x14ac:dyDescent="0.25">
      <c r="A27" s="53" t="s">
        <v>184</v>
      </c>
      <c r="B27" s="71" t="s">
        <v>185</v>
      </c>
      <c r="C27" s="68"/>
      <c r="D27" s="55" t="s">
        <v>186</v>
      </c>
      <c r="E27" s="8">
        <v>90551000</v>
      </c>
    </row>
    <row r="28" spans="1:5" ht="27.75" customHeight="1" x14ac:dyDescent="0.25">
      <c r="A28" s="53" t="s">
        <v>187</v>
      </c>
      <c r="B28" s="71" t="s">
        <v>188</v>
      </c>
      <c r="C28" s="68"/>
      <c r="D28" s="55" t="s">
        <v>189</v>
      </c>
      <c r="E28" s="8">
        <v>44998000</v>
      </c>
    </row>
    <row r="29" spans="1:5" ht="27.75" customHeight="1" x14ac:dyDescent="0.25">
      <c r="A29" s="53" t="s">
        <v>190</v>
      </c>
      <c r="B29" s="71" t="s">
        <v>191</v>
      </c>
      <c r="C29" s="68"/>
      <c r="D29" s="55" t="s">
        <v>192</v>
      </c>
      <c r="E29" s="8">
        <v>42330000</v>
      </c>
    </row>
    <row r="30" spans="1:5" ht="27.75" customHeight="1" x14ac:dyDescent="0.25">
      <c r="A30" s="53" t="s">
        <v>193</v>
      </c>
      <c r="B30" s="71" t="s">
        <v>194</v>
      </c>
      <c r="C30" s="68"/>
      <c r="D30" s="55" t="s">
        <v>195</v>
      </c>
      <c r="E30" s="8">
        <v>19996000</v>
      </c>
    </row>
    <row r="31" spans="1:5" ht="27.75" customHeight="1" x14ac:dyDescent="0.25">
      <c r="A31" s="53" t="s">
        <v>196</v>
      </c>
      <c r="B31" s="71" t="s">
        <v>197</v>
      </c>
      <c r="C31" s="68"/>
      <c r="D31" s="55" t="s">
        <v>198</v>
      </c>
      <c r="E31" s="8">
        <v>19850000</v>
      </c>
    </row>
    <row r="32" spans="1:5" ht="27.75" customHeight="1" x14ac:dyDescent="0.25">
      <c r="A32" s="53" t="s">
        <v>199</v>
      </c>
      <c r="B32" s="71" t="s">
        <v>200</v>
      </c>
      <c r="C32" s="68"/>
      <c r="D32" s="55" t="s">
        <v>201</v>
      </c>
      <c r="E32" s="8">
        <v>19180000</v>
      </c>
    </row>
    <row r="33" spans="1:5" ht="27.75" customHeight="1" x14ac:dyDescent="0.25">
      <c r="A33" s="53" t="s">
        <v>202</v>
      </c>
      <c r="B33" s="71" t="s">
        <v>203</v>
      </c>
      <c r="C33" s="68"/>
      <c r="D33" s="55" t="s">
        <v>204</v>
      </c>
      <c r="E33" s="8">
        <v>18475000</v>
      </c>
    </row>
    <row r="34" spans="1:5" ht="27.75" customHeight="1" x14ac:dyDescent="0.25">
      <c r="A34" s="53" t="s">
        <v>205</v>
      </c>
      <c r="B34" s="71" t="s">
        <v>206</v>
      </c>
      <c r="C34" s="68"/>
      <c r="D34" s="6"/>
      <c r="E34" s="7">
        <v>27730000</v>
      </c>
    </row>
    <row r="35" spans="1:5" ht="27.75" customHeight="1" x14ac:dyDescent="0.25">
      <c r="A35" s="53" t="s">
        <v>207</v>
      </c>
      <c r="B35" s="71" t="s">
        <v>208</v>
      </c>
      <c r="C35" s="68"/>
      <c r="D35" s="55" t="s">
        <v>209</v>
      </c>
      <c r="E35" s="8">
        <v>27730000</v>
      </c>
    </row>
    <row r="36" spans="1:5" ht="27.75" customHeight="1" x14ac:dyDescent="0.25">
      <c r="A36" s="53" t="s">
        <v>210</v>
      </c>
      <c r="B36" s="71" t="s">
        <v>211</v>
      </c>
      <c r="C36" s="68"/>
      <c r="D36" s="6"/>
      <c r="E36" s="8">
        <v>300002000</v>
      </c>
    </row>
    <row r="37" spans="1:5" ht="27.75" customHeight="1" x14ac:dyDescent="0.25">
      <c r="A37" s="53" t="s">
        <v>212</v>
      </c>
      <c r="B37" s="71" t="s">
        <v>213</v>
      </c>
      <c r="C37" s="68"/>
      <c r="D37" s="55" t="s">
        <v>214</v>
      </c>
      <c r="E37" s="8">
        <v>300002000</v>
      </c>
    </row>
    <row r="38" spans="1:5" ht="27.75" customHeight="1" x14ac:dyDescent="0.25">
      <c r="A38" s="53" t="s">
        <v>215</v>
      </c>
      <c r="B38" s="71" t="s">
        <v>216</v>
      </c>
      <c r="C38" s="68"/>
      <c r="D38" s="55" t="s">
        <v>217</v>
      </c>
      <c r="E38" s="8">
        <v>0</v>
      </c>
    </row>
    <row r="39" spans="1:5" ht="27.75" customHeight="1" x14ac:dyDescent="0.25">
      <c r="A39" s="72" t="s">
        <v>218</v>
      </c>
      <c r="B39" s="67"/>
      <c r="C39" s="67"/>
      <c r="D39" s="68"/>
      <c r="E39" s="8" t="s">
        <v>219</v>
      </c>
    </row>
  </sheetData>
  <mergeCells count="39">
    <mergeCell ref="B36:C36"/>
    <mergeCell ref="B32:C32"/>
    <mergeCell ref="B26:C26"/>
    <mergeCell ref="B35:C35"/>
    <mergeCell ref="C10:E10"/>
    <mergeCell ref="A39:D39"/>
    <mergeCell ref="B23:C23"/>
    <mergeCell ref="C8:E8"/>
    <mergeCell ref="B14:C14"/>
    <mergeCell ref="B17:C17"/>
    <mergeCell ref="B13:C13"/>
    <mergeCell ref="B38:C38"/>
    <mergeCell ref="B29:C29"/>
    <mergeCell ref="B19:C19"/>
    <mergeCell ref="B37:C37"/>
    <mergeCell ref="B34:C34"/>
    <mergeCell ref="B28:C28"/>
    <mergeCell ref="B24:C24"/>
    <mergeCell ref="B30:C30"/>
    <mergeCell ref="B15:C15"/>
    <mergeCell ref="B33:C33"/>
    <mergeCell ref="B31:C31"/>
    <mergeCell ref="B27:C27"/>
    <mergeCell ref="B18:C18"/>
    <mergeCell ref="B12:C12"/>
    <mergeCell ref="C2:E2"/>
    <mergeCell ref="B21:C21"/>
    <mergeCell ref="C7:E7"/>
    <mergeCell ref="A2:B2"/>
    <mergeCell ref="C3:E3"/>
    <mergeCell ref="C6:E6"/>
    <mergeCell ref="C5:E5"/>
    <mergeCell ref="B20:C20"/>
    <mergeCell ref="C4:E4"/>
    <mergeCell ref="B16:C16"/>
    <mergeCell ref="B25:C25"/>
    <mergeCell ref="C9:E9"/>
    <mergeCell ref="B22:C2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A4" workbookViewId="0">
      <selection activeCell="J19" sqref="J19"/>
    </sheetView>
  </sheetViews>
  <sheetFormatPr defaultRowHeight="15" x14ac:dyDescent="0.25"/>
  <cols>
    <col min="1" max="1" width="5" style="49" customWidth="1"/>
    <col min="2" max="2" width="14.140625" style="49" customWidth="1"/>
    <col min="3" max="3" width="14.5703125" style="49" customWidth="1"/>
    <col min="4" max="4" width="18" style="49" customWidth="1"/>
    <col min="5" max="5" width="25" style="49" customWidth="1"/>
    <col min="6" max="6" width="16" style="49" customWidth="1"/>
    <col min="7" max="7" width="15" style="49" customWidth="1"/>
    <col min="8" max="8" width="28" style="49" customWidth="1"/>
    <col min="9" max="9" width="12" style="49" customWidth="1"/>
    <col min="10" max="10" width="8" style="49" customWidth="1"/>
    <col min="11" max="11" width="30" style="49" customWidth="1"/>
    <col min="12" max="12" width="20" style="49" customWidth="1"/>
    <col min="13" max="13" width="9.140625" style="49" customWidth="1"/>
    <col min="14" max="16384" width="9.140625" style="49"/>
  </cols>
  <sheetData>
    <row r="1" spans="1:12" ht="17.25" customHeight="1" x14ac:dyDescent="0.25">
      <c r="A1" s="79" t="s">
        <v>220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3" spans="1:12" x14ac:dyDescent="0.25">
      <c r="A3" s="48" t="s">
        <v>78</v>
      </c>
      <c r="B3" s="48"/>
      <c r="C3" s="42" t="s">
        <v>79</v>
      </c>
    </row>
    <row r="4" spans="1:12" x14ac:dyDescent="0.25">
      <c r="A4" s="48" t="s">
        <v>80</v>
      </c>
      <c r="B4" s="48"/>
      <c r="C4" s="42" t="s">
        <v>81</v>
      </c>
    </row>
    <row r="5" spans="1:12" x14ac:dyDescent="0.25">
      <c r="A5" s="48" t="s">
        <v>108</v>
      </c>
      <c r="B5" s="48"/>
      <c r="C5" s="42" t="s">
        <v>221</v>
      </c>
    </row>
    <row r="6" spans="1:12" x14ac:dyDescent="0.25">
      <c r="A6" s="48" t="s">
        <v>110</v>
      </c>
      <c r="B6" s="48"/>
      <c r="C6" s="42" t="s">
        <v>222</v>
      </c>
    </row>
    <row r="8" spans="1:12" x14ac:dyDescent="0.25">
      <c r="A8" s="58" t="s">
        <v>84</v>
      </c>
      <c r="B8" s="81" t="s">
        <v>223</v>
      </c>
      <c r="C8" s="68"/>
      <c r="D8" s="58" t="s">
        <v>224</v>
      </c>
      <c r="E8" s="58" t="s">
        <v>225</v>
      </c>
      <c r="F8" s="58" t="s">
        <v>226</v>
      </c>
      <c r="G8" s="58" t="s">
        <v>227</v>
      </c>
      <c r="H8" s="58" t="s">
        <v>225</v>
      </c>
      <c r="I8" s="58" t="s">
        <v>228</v>
      </c>
      <c r="J8" s="58" t="s">
        <v>229</v>
      </c>
      <c r="K8" s="58" t="s">
        <v>225</v>
      </c>
      <c r="L8" s="58" t="s">
        <v>230</v>
      </c>
    </row>
    <row r="9" spans="1:12" x14ac:dyDescent="0.25">
      <c r="A9" s="56" t="s">
        <v>12</v>
      </c>
      <c r="B9" s="80" t="s">
        <v>20</v>
      </c>
      <c r="C9" s="68"/>
      <c r="D9" s="56" t="s">
        <v>27</v>
      </c>
      <c r="E9" s="56" t="s">
        <v>38</v>
      </c>
      <c r="F9" s="56" t="s">
        <v>44</v>
      </c>
      <c r="G9" s="56" t="s">
        <v>49</v>
      </c>
      <c r="H9" s="56" t="s">
        <v>58</v>
      </c>
      <c r="I9" s="56" t="s">
        <v>231</v>
      </c>
      <c r="J9" s="56" t="s">
        <v>144</v>
      </c>
      <c r="K9" s="56" t="s">
        <v>232</v>
      </c>
      <c r="L9" s="56" t="s">
        <v>233</v>
      </c>
    </row>
    <row r="10" spans="1:12" x14ac:dyDescent="0.25">
      <c r="A10" s="108" t="s">
        <v>234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</row>
    <row r="11" spans="1:12" ht="36" x14ac:dyDescent="0.25">
      <c r="A11" s="102">
        <v>1</v>
      </c>
      <c r="B11" s="103" t="s">
        <v>235</v>
      </c>
      <c r="C11" s="104"/>
      <c r="D11" s="105" t="s">
        <v>236</v>
      </c>
      <c r="E11" s="105" t="s">
        <v>237</v>
      </c>
      <c r="F11" s="102" t="s">
        <v>238</v>
      </c>
      <c r="G11" s="105" t="s">
        <v>239</v>
      </c>
      <c r="H11" s="105" t="s">
        <v>240</v>
      </c>
      <c r="I11" s="102" t="s">
        <v>241</v>
      </c>
      <c r="J11" s="102" t="s">
        <v>27</v>
      </c>
      <c r="K11" s="105" t="s">
        <v>242</v>
      </c>
      <c r="L11" s="105" t="s">
        <v>243</v>
      </c>
    </row>
    <row r="12" spans="1:12" ht="48" x14ac:dyDescent="0.25">
      <c r="A12" s="102">
        <v>2</v>
      </c>
      <c r="B12" s="107" t="s">
        <v>244</v>
      </c>
      <c r="C12" s="104"/>
      <c r="D12" s="110" t="s">
        <v>245</v>
      </c>
      <c r="E12" s="105" t="s">
        <v>246</v>
      </c>
      <c r="F12" s="102" t="s">
        <v>247</v>
      </c>
      <c r="G12" s="105" t="s">
        <v>248</v>
      </c>
      <c r="H12" s="105" t="s">
        <v>249</v>
      </c>
      <c r="I12" s="102" t="s">
        <v>241</v>
      </c>
      <c r="J12" s="102" t="s">
        <v>27</v>
      </c>
      <c r="K12" s="105" t="s">
        <v>250</v>
      </c>
      <c r="L12" s="105" t="s">
        <v>251</v>
      </c>
    </row>
    <row r="13" spans="1:12" ht="36" x14ac:dyDescent="0.25">
      <c r="A13" s="106">
        <v>3</v>
      </c>
      <c r="B13" s="107" t="s">
        <v>252</v>
      </c>
      <c r="C13" s="104"/>
      <c r="D13" s="110" t="s">
        <v>253</v>
      </c>
      <c r="E13" s="110" t="s">
        <v>254</v>
      </c>
      <c r="F13" s="106" t="s">
        <v>255</v>
      </c>
      <c r="G13" s="110" t="s">
        <v>248</v>
      </c>
      <c r="H13" s="110" t="s">
        <v>256</v>
      </c>
      <c r="I13" s="106" t="s">
        <v>241</v>
      </c>
      <c r="J13" s="106" t="s">
        <v>27</v>
      </c>
      <c r="K13" s="110" t="s">
        <v>257</v>
      </c>
      <c r="L13" s="110" t="s">
        <v>258</v>
      </c>
    </row>
    <row r="14" spans="1:12" ht="36" x14ac:dyDescent="0.25">
      <c r="A14" s="106">
        <v>4</v>
      </c>
      <c r="B14" s="107" t="s">
        <v>259</v>
      </c>
      <c r="C14" s="104"/>
      <c r="D14" s="110" t="s">
        <v>260</v>
      </c>
      <c r="E14" s="110" t="s">
        <v>261</v>
      </c>
      <c r="F14" s="106" t="s">
        <v>262</v>
      </c>
      <c r="G14" s="110" t="s">
        <v>263</v>
      </c>
      <c r="H14" s="110" t="s">
        <v>264</v>
      </c>
      <c r="I14" s="106" t="s">
        <v>241</v>
      </c>
      <c r="J14" s="106" t="s">
        <v>27</v>
      </c>
      <c r="K14" s="110" t="s">
        <v>265</v>
      </c>
      <c r="L14" s="110" t="s">
        <v>266</v>
      </c>
    </row>
    <row r="15" spans="1:12" ht="36" x14ac:dyDescent="0.25">
      <c r="A15" s="106">
        <v>5</v>
      </c>
      <c r="B15" s="107" t="s">
        <v>267</v>
      </c>
      <c r="C15" s="104"/>
      <c r="D15" s="110" t="s">
        <v>268</v>
      </c>
      <c r="E15" s="110" t="s">
        <v>269</v>
      </c>
      <c r="F15" s="106" t="s">
        <v>270</v>
      </c>
      <c r="G15" s="110" t="s">
        <v>271</v>
      </c>
      <c r="H15" s="110" t="s">
        <v>272</v>
      </c>
      <c r="I15" s="106" t="s">
        <v>241</v>
      </c>
      <c r="J15" s="106" t="s">
        <v>27</v>
      </c>
      <c r="K15" s="110" t="s">
        <v>273</v>
      </c>
      <c r="L15" s="110" t="s">
        <v>274</v>
      </c>
    </row>
    <row r="16" spans="1:12" ht="36" x14ac:dyDescent="0.25">
      <c r="A16" s="106">
        <v>6</v>
      </c>
      <c r="B16" s="107" t="s">
        <v>275</v>
      </c>
      <c r="C16" s="104"/>
      <c r="D16" s="110" t="s">
        <v>276</v>
      </c>
      <c r="E16" s="110" t="s">
        <v>277</v>
      </c>
      <c r="F16" s="106" t="s">
        <v>278</v>
      </c>
      <c r="G16" s="110" t="s">
        <v>239</v>
      </c>
      <c r="H16" s="110" t="s">
        <v>279</v>
      </c>
      <c r="I16" s="106" t="s">
        <v>241</v>
      </c>
      <c r="J16" s="106" t="s">
        <v>27</v>
      </c>
      <c r="K16" s="110" t="s">
        <v>280</v>
      </c>
      <c r="L16" s="110" t="s">
        <v>281</v>
      </c>
    </row>
  </sheetData>
  <mergeCells count="10">
    <mergeCell ref="A1:L1"/>
    <mergeCell ref="B14:C14"/>
    <mergeCell ref="B9:C9"/>
    <mergeCell ref="B8:C8"/>
    <mergeCell ref="B12:C12"/>
    <mergeCell ref="B13:C13"/>
    <mergeCell ref="B16:C16"/>
    <mergeCell ref="A10:L10"/>
    <mergeCell ref="B15:C15"/>
    <mergeCell ref="B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opLeftCell="A17" workbookViewId="0">
      <selection activeCell="A13" sqref="A13:L19"/>
    </sheetView>
  </sheetViews>
  <sheetFormatPr defaultRowHeight="15" x14ac:dyDescent="0.25"/>
  <cols>
    <col min="1" max="1" width="6" style="49" customWidth="1"/>
    <col min="2" max="2" width="13" style="49" customWidth="1"/>
    <col min="3" max="3" width="23.5703125" style="49" customWidth="1"/>
    <col min="4" max="4" width="22" style="49" customWidth="1"/>
    <col min="5" max="5" width="25" style="49" customWidth="1"/>
    <col min="6" max="6" width="15" style="49" customWidth="1"/>
    <col min="7" max="7" width="16" style="49" customWidth="1"/>
    <col min="8" max="8" width="25" style="49" customWidth="1"/>
    <col min="9" max="9" width="12" style="49" customWidth="1"/>
    <col min="10" max="10" width="8" style="49" customWidth="1"/>
    <col min="11" max="11" width="28" style="49" customWidth="1"/>
    <col min="12" max="12" width="20" style="49" customWidth="1"/>
    <col min="13" max="13" width="9.140625" style="49" customWidth="1"/>
    <col min="14" max="16384" width="9.140625" style="49"/>
  </cols>
  <sheetData>
    <row r="1" spans="1:12" ht="17.25" customHeight="1" x14ac:dyDescent="0.25">
      <c r="A1" s="79" t="s">
        <v>282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3" spans="1:12" x14ac:dyDescent="0.25">
      <c r="A3" s="48" t="s">
        <v>78</v>
      </c>
      <c r="B3" s="48"/>
      <c r="C3" s="42" t="s">
        <v>79</v>
      </c>
    </row>
    <row r="4" spans="1:12" x14ac:dyDescent="0.25">
      <c r="A4" s="48" t="s">
        <v>283</v>
      </c>
      <c r="B4" s="48"/>
      <c r="C4" s="42" t="s">
        <v>81</v>
      </c>
    </row>
    <row r="5" spans="1:12" x14ac:dyDescent="0.25">
      <c r="A5" s="48" t="s">
        <v>108</v>
      </c>
      <c r="B5" s="48"/>
      <c r="C5" s="42" t="s">
        <v>221</v>
      </c>
    </row>
    <row r="6" spans="1:12" x14ac:dyDescent="0.25">
      <c r="A6" s="48" t="s">
        <v>82</v>
      </c>
      <c r="B6" s="48"/>
      <c r="C6" s="42" t="s">
        <v>222</v>
      </c>
    </row>
    <row r="7" spans="1:12" x14ac:dyDescent="0.25">
      <c r="A7" s="48" t="s">
        <v>284</v>
      </c>
      <c r="B7" s="48"/>
      <c r="C7" s="42" t="s">
        <v>285</v>
      </c>
    </row>
    <row r="8" spans="1:12" ht="15.75" customHeight="1" thickBot="1" x14ac:dyDescent="0.3"/>
    <row r="9" spans="1:12" ht="24" customHeight="1" thickBot="1" x14ac:dyDescent="0.3">
      <c r="A9" s="82" t="s">
        <v>84</v>
      </c>
      <c r="B9" s="86" t="s">
        <v>286</v>
      </c>
      <c r="C9" s="87"/>
      <c r="D9" s="82" t="s">
        <v>287</v>
      </c>
      <c r="E9" s="82" t="s">
        <v>288</v>
      </c>
      <c r="F9" s="85"/>
      <c r="G9" s="84"/>
      <c r="H9" s="82" t="s">
        <v>289</v>
      </c>
      <c r="I9" s="84"/>
      <c r="J9" s="82" t="s">
        <v>290</v>
      </c>
      <c r="K9" s="82" t="s">
        <v>291</v>
      </c>
      <c r="L9" s="84"/>
    </row>
    <row r="10" spans="1:12" x14ac:dyDescent="0.25">
      <c r="A10" s="83"/>
      <c r="B10" s="88"/>
      <c r="C10" s="89"/>
      <c r="D10" s="83"/>
      <c r="E10" s="57" t="s">
        <v>225</v>
      </c>
      <c r="F10" s="57" t="s">
        <v>226</v>
      </c>
      <c r="G10" s="57" t="s">
        <v>227</v>
      </c>
      <c r="H10" s="57" t="s">
        <v>225</v>
      </c>
      <c r="I10" s="57" t="s">
        <v>228</v>
      </c>
      <c r="J10" s="83"/>
      <c r="K10" s="57" t="s">
        <v>225</v>
      </c>
      <c r="L10" s="57" t="s">
        <v>292</v>
      </c>
    </row>
    <row r="11" spans="1:12" x14ac:dyDescent="0.25">
      <c r="A11" s="56" t="s">
        <v>12</v>
      </c>
      <c r="B11" s="80" t="s">
        <v>20</v>
      </c>
      <c r="C11" s="68"/>
      <c r="D11" s="56" t="s">
        <v>27</v>
      </c>
      <c r="E11" s="56" t="s">
        <v>38</v>
      </c>
      <c r="F11" s="56" t="s">
        <v>44</v>
      </c>
      <c r="G11" s="56" t="s">
        <v>49</v>
      </c>
      <c r="H11" s="56" t="s">
        <v>58</v>
      </c>
      <c r="I11" s="56" t="s">
        <v>231</v>
      </c>
      <c r="J11" s="56" t="s">
        <v>144</v>
      </c>
      <c r="K11" s="56" t="s">
        <v>232</v>
      </c>
      <c r="L11" s="56" t="s">
        <v>233</v>
      </c>
    </row>
    <row r="12" spans="1:12" ht="39" customHeight="1" x14ac:dyDescent="0.25">
      <c r="A12" s="108" t="s">
        <v>293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</row>
    <row r="13" spans="1:12" ht="48" x14ac:dyDescent="0.25">
      <c r="A13" s="102">
        <v>1</v>
      </c>
      <c r="B13" s="103" t="s">
        <v>294</v>
      </c>
      <c r="C13" s="104"/>
      <c r="D13" s="105" t="s">
        <v>295</v>
      </c>
      <c r="E13" s="105" t="s">
        <v>237</v>
      </c>
      <c r="F13" s="102" t="s">
        <v>238</v>
      </c>
      <c r="G13" s="105" t="s">
        <v>239</v>
      </c>
      <c r="H13" s="105" t="s">
        <v>240</v>
      </c>
      <c r="I13" s="102" t="s">
        <v>241</v>
      </c>
      <c r="J13" s="102" t="s">
        <v>27</v>
      </c>
      <c r="K13" s="105" t="s">
        <v>242</v>
      </c>
      <c r="L13" s="105" t="s">
        <v>243</v>
      </c>
    </row>
    <row r="14" spans="1:12" ht="48" x14ac:dyDescent="0.25">
      <c r="A14" s="102">
        <v>2</v>
      </c>
      <c r="B14" s="103" t="s">
        <v>294</v>
      </c>
      <c r="C14" s="104"/>
      <c r="D14" s="105" t="s">
        <v>295</v>
      </c>
      <c r="E14" s="105" t="s">
        <v>246</v>
      </c>
      <c r="F14" s="102" t="s">
        <v>247</v>
      </c>
      <c r="G14" s="105" t="s">
        <v>248</v>
      </c>
      <c r="H14" s="105" t="s">
        <v>249</v>
      </c>
      <c r="I14" s="102" t="s">
        <v>241</v>
      </c>
      <c r="J14" s="102" t="s">
        <v>27</v>
      </c>
      <c r="K14" s="105" t="s">
        <v>250</v>
      </c>
      <c r="L14" s="105" t="s">
        <v>251</v>
      </c>
    </row>
    <row r="15" spans="1:12" ht="48" x14ac:dyDescent="0.25">
      <c r="A15" s="102">
        <v>3</v>
      </c>
      <c r="B15" s="103" t="s">
        <v>294</v>
      </c>
      <c r="C15" s="104"/>
      <c r="D15" s="105" t="s">
        <v>295</v>
      </c>
      <c r="E15" s="105" t="s">
        <v>254</v>
      </c>
      <c r="F15" s="102" t="s">
        <v>255</v>
      </c>
      <c r="G15" s="105" t="s">
        <v>248</v>
      </c>
      <c r="H15" s="105" t="s">
        <v>256</v>
      </c>
      <c r="I15" s="102" t="s">
        <v>241</v>
      </c>
      <c r="J15" s="102" t="s">
        <v>27</v>
      </c>
      <c r="K15" s="105" t="s">
        <v>257</v>
      </c>
      <c r="L15" s="105" t="s">
        <v>258</v>
      </c>
    </row>
    <row r="16" spans="1:12" ht="48" x14ac:dyDescent="0.25">
      <c r="A16" s="102">
        <v>4</v>
      </c>
      <c r="B16" s="103" t="s">
        <v>294</v>
      </c>
      <c r="C16" s="104"/>
      <c r="D16" s="105" t="s">
        <v>295</v>
      </c>
      <c r="E16" s="105" t="s">
        <v>261</v>
      </c>
      <c r="F16" s="102" t="s">
        <v>262</v>
      </c>
      <c r="G16" s="105" t="s">
        <v>263</v>
      </c>
      <c r="H16" s="105" t="s">
        <v>264</v>
      </c>
      <c r="I16" s="102" t="s">
        <v>241</v>
      </c>
      <c r="J16" s="102" t="s">
        <v>27</v>
      </c>
      <c r="K16" s="105" t="s">
        <v>265</v>
      </c>
      <c r="L16" s="105" t="s">
        <v>266</v>
      </c>
    </row>
    <row r="17" spans="1:12" ht="48" x14ac:dyDescent="0.25">
      <c r="A17" s="102">
        <v>5</v>
      </c>
      <c r="B17" s="103" t="s">
        <v>294</v>
      </c>
      <c r="C17" s="104"/>
      <c r="D17" s="105" t="s">
        <v>295</v>
      </c>
      <c r="E17" s="105" t="s">
        <v>269</v>
      </c>
      <c r="F17" s="102" t="s">
        <v>270</v>
      </c>
      <c r="G17" s="105" t="s">
        <v>271</v>
      </c>
      <c r="H17" s="105" t="s">
        <v>272</v>
      </c>
      <c r="I17" s="102" t="s">
        <v>241</v>
      </c>
      <c r="J17" s="102" t="s">
        <v>27</v>
      </c>
      <c r="K17" s="105" t="s">
        <v>273</v>
      </c>
      <c r="L17" s="105" t="s">
        <v>274</v>
      </c>
    </row>
    <row r="18" spans="1:12" ht="48" x14ac:dyDescent="0.25">
      <c r="A18" s="102">
        <v>6</v>
      </c>
      <c r="B18" s="103" t="s">
        <v>294</v>
      </c>
      <c r="C18" s="104"/>
      <c r="D18" s="105" t="s">
        <v>295</v>
      </c>
      <c r="E18" s="105" t="s">
        <v>277</v>
      </c>
      <c r="F18" s="102" t="s">
        <v>278</v>
      </c>
      <c r="G18" s="105" t="s">
        <v>239</v>
      </c>
      <c r="H18" s="105" t="s">
        <v>279</v>
      </c>
      <c r="I18" s="102" t="s">
        <v>241</v>
      </c>
      <c r="J18" s="102" t="s">
        <v>27</v>
      </c>
      <c r="K18" s="105" t="s">
        <v>280</v>
      </c>
      <c r="L18" s="105" t="s">
        <v>281</v>
      </c>
    </row>
    <row r="19" spans="1:12" ht="36" x14ac:dyDescent="0.25">
      <c r="A19" s="106">
        <v>7</v>
      </c>
      <c r="B19" s="107" t="s">
        <v>296</v>
      </c>
      <c r="C19" s="104"/>
      <c r="D19" s="110" t="s">
        <v>297</v>
      </c>
      <c r="E19" s="110" t="s">
        <v>298</v>
      </c>
      <c r="F19" s="106" t="s">
        <v>299</v>
      </c>
      <c r="G19" s="110" t="s">
        <v>300</v>
      </c>
      <c r="H19" s="110" t="s">
        <v>301</v>
      </c>
      <c r="I19" s="106" t="s">
        <v>241</v>
      </c>
      <c r="J19" s="106" t="s">
        <v>27</v>
      </c>
      <c r="K19" s="110" t="s">
        <v>302</v>
      </c>
      <c r="L19" s="110" t="s">
        <v>303</v>
      </c>
    </row>
  </sheetData>
  <mergeCells count="17">
    <mergeCell ref="A9:A10"/>
    <mergeCell ref="J9:J10"/>
    <mergeCell ref="B19:C19"/>
    <mergeCell ref="A1:L1"/>
    <mergeCell ref="K9:L9"/>
    <mergeCell ref="E9:G9"/>
    <mergeCell ref="B14:C14"/>
    <mergeCell ref="B17:C17"/>
    <mergeCell ref="B18:C18"/>
    <mergeCell ref="B9:C10"/>
    <mergeCell ref="H9:I9"/>
    <mergeCell ref="A12:L12"/>
    <mergeCell ref="B13:C13"/>
    <mergeCell ref="B16:C16"/>
    <mergeCell ref="D9:D10"/>
    <mergeCell ref="B15:C15"/>
    <mergeCell ref="B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13" workbookViewId="0">
      <selection activeCell="I15" sqref="I15"/>
    </sheetView>
  </sheetViews>
  <sheetFormatPr defaultRowHeight="15" x14ac:dyDescent="0.25"/>
  <cols>
    <col min="1" max="1" width="5" style="49" customWidth="1"/>
    <col min="2" max="2" width="14.5703125" style="49" customWidth="1"/>
    <col min="3" max="3" width="11.5703125" style="49" customWidth="1"/>
    <col min="4" max="5" width="18" style="49" customWidth="1"/>
    <col min="6" max="6" width="25" style="49" customWidth="1"/>
    <col min="7" max="7" width="16" style="49" customWidth="1"/>
    <col min="8" max="8" width="25" style="49" customWidth="1"/>
    <col min="9" max="9" width="28" style="49" customWidth="1"/>
    <col min="10" max="10" width="12" style="49" customWidth="1"/>
    <col min="11" max="11" width="8" style="49" customWidth="1"/>
    <col min="12" max="12" width="28" style="49" customWidth="1"/>
    <col min="13" max="13" width="20" style="49" customWidth="1"/>
    <col min="14" max="14" width="9.140625" style="49" customWidth="1"/>
    <col min="15" max="16384" width="9.140625" style="49"/>
  </cols>
  <sheetData>
    <row r="1" spans="1:13" ht="17.25" customHeight="1" x14ac:dyDescent="0.25">
      <c r="A1" s="79" t="s">
        <v>304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3" spans="1:13" x14ac:dyDescent="0.25">
      <c r="A3" s="48" t="s">
        <v>78</v>
      </c>
      <c r="B3" s="48"/>
      <c r="C3" s="42" t="s">
        <v>79</v>
      </c>
    </row>
    <row r="4" spans="1:13" x14ac:dyDescent="0.25">
      <c r="A4" s="48" t="s">
        <v>80</v>
      </c>
      <c r="B4" s="48"/>
      <c r="C4" s="42" t="s">
        <v>81</v>
      </c>
    </row>
    <row r="5" spans="1:13" x14ac:dyDescent="0.25">
      <c r="A5" s="48" t="s">
        <v>115</v>
      </c>
      <c r="B5" s="48"/>
      <c r="C5" s="42" t="s">
        <v>116</v>
      </c>
    </row>
    <row r="6" spans="1:13" x14ac:dyDescent="0.25">
      <c r="A6" s="48" t="s">
        <v>305</v>
      </c>
      <c r="B6" s="48"/>
      <c r="C6" s="42" t="s">
        <v>306</v>
      </c>
    </row>
    <row r="7" spans="1:13" x14ac:dyDescent="0.25">
      <c r="A7" s="48"/>
      <c r="B7" s="48"/>
      <c r="C7" s="42" t="s">
        <v>307</v>
      </c>
    </row>
    <row r="8" spans="1:13" x14ac:dyDescent="0.25">
      <c r="A8" s="48" t="s">
        <v>110</v>
      </c>
      <c r="B8" s="48"/>
      <c r="C8" s="42" t="s">
        <v>222</v>
      </c>
    </row>
    <row r="9" spans="1:13" x14ac:dyDescent="0.25">
      <c r="A9" s="48" t="s">
        <v>284</v>
      </c>
      <c r="B9" s="48"/>
      <c r="C9" s="42" t="s">
        <v>285</v>
      </c>
    </row>
    <row r="11" spans="1:13" x14ac:dyDescent="0.25">
      <c r="A11" s="81" t="s">
        <v>84</v>
      </c>
      <c r="B11" s="81" t="s">
        <v>308</v>
      </c>
      <c r="C11" s="90"/>
      <c r="D11" s="81" t="s">
        <v>309</v>
      </c>
      <c r="E11" s="81" t="s">
        <v>288</v>
      </c>
      <c r="F11" s="67"/>
      <c r="G11" s="67"/>
      <c r="H11" s="68"/>
      <c r="I11" s="81" t="s">
        <v>289</v>
      </c>
      <c r="J11" s="68"/>
      <c r="K11" s="81" t="s">
        <v>290</v>
      </c>
      <c r="L11" s="81" t="s">
        <v>291</v>
      </c>
      <c r="M11" s="68"/>
    </row>
    <row r="12" spans="1:13" x14ac:dyDescent="0.25">
      <c r="A12" s="65"/>
      <c r="B12" s="91"/>
      <c r="C12" s="92"/>
      <c r="D12" s="65"/>
      <c r="E12" s="58" t="s">
        <v>310</v>
      </c>
      <c r="F12" s="58" t="s">
        <v>225</v>
      </c>
      <c r="G12" s="58" t="s">
        <v>226</v>
      </c>
      <c r="H12" s="58" t="s">
        <v>227</v>
      </c>
      <c r="I12" s="58" t="s">
        <v>225</v>
      </c>
      <c r="J12" s="58" t="s">
        <v>228</v>
      </c>
      <c r="K12" s="65"/>
      <c r="L12" s="58" t="s">
        <v>225</v>
      </c>
      <c r="M12" s="58" t="s">
        <v>292</v>
      </c>
    </row>
    <row r="13" spans="1:13" x14ac:dyDescent="0.25">
      <c r="A13" s="56" t="s">
        <v>12</v>
      </c>
      <c r="B13" s="56"/>
      <c r="C13" s="56" t="s">
        <v>20</v>
      </c>
      <c r="D13" s="56" t="s">
        <v>27</v>
      </c>
      <c r="E13" s="56" t="s">
        <v>38</v>
      </c>
      <c r="F13" s="56" t="s">
        <v>44</v>
      </c>
      <c r="G13" s="56" t="s">
        <v>49</v>
      </c>
      <c r="H13" s="56" t="s">
        <v>58</v>
      </c>
      <c r="I13" s="56" t="s">
        <v>231</v>
      </c>
      <c r="J13" s="56" t="s">
        <v>144</v>
      </c>
      <c r="K13" s="56" t="s">
        <v>232</v>
      </c>
      <c r="L13" s="56" t="s">
        <v>233</v>
      </c>
      <c r="M13" s="56" t="s">
        <v>311</v>
      </c>
    </row>
    <row r="14" spans="1:13" ht="36" x14ac:dyDescent="0.25">
      <c r="A14" s="102">
        <v>1</v>
      </c>
      <c r="B14" s="103" t="s">
        <v>312</v>
      </c>
      <c r="C14" s="104"/>
      <c r="D14" s="105" t="s">
        <v>148</v>
      </c>
      <c r="E14" s="102" t="s">
        <v>313</v>
      </c>
      <c r="F14" s="105" t="s">
        <v>314</v>
      </c>
      <c r="G14" s="102" t="s">
        <v>238</v>
      </c>
      <c r="H14" s="105" t="s">
        <v>239</v>
      </c>
      <c r="I14" s="105" t="s">
        <v>315</v>
      </c>
      <c r="J14" s="102" t="s">
        <v>241</v>
      </c>
      <c r="K14" s="102" t="s">
        <v>27</v>
      </c>
      <c r="L14" s="105" t="s">
        <v>316</v>
      </c>
      <c r="M14" s="105" t="s">
        <v>317</v>
      </c>
    </row>
    <row r="15" spans="1:13" ht="36" x14ac:dyDescent="0.25">
      <c r="A15" s="106">
        <v>2</v>
      </c>
      <c r="B15" s="107" t="s">
        <v>318</v>
      </c>
      <c r="C15" s="104"/>
      <c r="D15" s="110" t="s">
        <v>171</v>
      </c>
      <c r="E15" s="102" t="s">
        <v>319</v>
      </c>
      <c r="F15" s="105" t="s">
        <v>320</v>
      </c>
      <c r="G15" s="102" t="s">
        <v>247</v>
      </c>
      <c r="H15" s="105" t="s">
        <v>248</v>
      </c>
      <c r="I15" s="105" t="s">
        <v>321</v>
      </c>
      <c r="J15" s="102" t="s">
        <v>241</v>
      </c>
      <c r="K15" s="102" t="s">
        <v>27</v>
      </c>
      <c r="L15" s="105" t="s">
        <v>322</v>
      </c>
      <c r="M15" s="105" t="s">
        <v>251</v>
      </c>
    </row>
    <row r="16" spans="1:13" ht="24" x14ac:dyDescent="0.25">
      <c r="A16" s="106">
        <v>3</v>
      </c>
      <c r="B16" s="107" t="s">
        <v>323</v>
      </c>
      <c r="C16" s="104"/>
      <c r="D16" s="110" t="s">
        <v>174</v>
      </c>
      <c r="E16" s="106" t="s">
        <v>319</v>
      </c>
      <c r="F16" s="110" t="s">
        <v>324</v>
      </c>
      <c r="G16" s="106" t="s">
        <v>255</v>
      </c>
      <c r="H16" s="110" t="s">
        <v>248</v>
      </c>
      <c r="I16" s="110" t="s">
        <v>325</v>
      </c>
      <c r="J16" s="106" t="s">
        <v>241</v>
      </c>
      <c r="K16" s="106" t="s">
        <v>27</v>
      </c>
      <c r="L16" s="110" t="s">
        <v>326</v>
      </c>
      <c r="M16" s="110" t="s">
        <v>258</v>
      </c>
    </row>
    <row r="17" spans="1:13" ht="24" x14ac:dyDescent="0.25">
      <c r="A17" s="106">
        <v>4</v>
      </c>
      <c r="B17" s="107" t="s">
        <v>327</v>
      </c>
      <c r="C17" s="104"/>
      <c r="D17" s="110" t="s">
        <v>328</v>
      </c>
      <c r="E17" s="106" t="s">
        <v>313</v>
      </c>
      <c r="F17" s="110" t="s">
        <v>329</v>
      </c>
      <c r="G17" s="106" t="s">
        <v>262</v>
      </c>
      <c r="H17" s="110" t="s">
        <v>263</v>
      </c>
      <c r="I17" s="110" t="s">
        <v>330</v>
      </c>
      <c r="J17" s="106" t="s">
        <v>241</v>
      </c>
      <c r="K17" s="106" t="s">
        <v>27</v>
      </c>
      <c r="L17" s="110" t="s">
        <v>331</v>
      </c>
      <c r="M17" s="110" t="s">
        <v>332</v>
      </c>
    </row>
    <row r="18" spans="1:13" ht="36" x14ac:dyDescent="0.25">
      <c r="A18" s="106">
        <v>5</v>
      </c>
      <c r="B18" s="107" t="s">
        <v>333</v>
      </c>
      <c r="C18" s="104"/>
      <c r="D18" s="110" t="s">
        <v>180</v>
      </c>
      <c r="E18" s="106" t="s">
        <v>313</v>
      </c>
      <c r="F18" s="110" t="s">
        <v>334</v>
      </c>
      <c r="G18" s="106" t="s">
        <v>335</v>
      </c>
      <c r="H18" s="110" t="s">
        <v>263</v>
      </c>
      <c r="I18" s="110" t="s">
        <v>336</v>
      </c>
      <c r="J18" s="106" t="s">
        <v>241</v>
      </c>
      <c r="K18" s="106" t="s">
        <v>27</v>
      </c>
      <c r="L18" s="110" t="s">
        <v>337</v>
      </c>
      <c r="M18" s="110" t="s">
        <v>338</v>
      </c>
    </row>
    <row r="19" spans="1:13" ht="24" x14ac:dyDescent="0.25">
      <c r="A19" s="106">
        <v>6</v>
      </c>
      <c r="B19" s="107" t="s">
        <v>339</v>
      </c>
      <c r="C19" s="104"/>
      <c r="D19" s="110" t="s">
        <v>340</v>
      </c>
      <c r="E19" s="106" t="s">
        <v>313</v>
      </c>
      <c r="F19" s="110" t="s">
        <v>341</v>
      </c>
      <c r="G19" s="106" t="s">
        <v>342</v>
      </c>
      <c r="H19" s="110" t="s">
        <v>300</v>
      </c>
      <c r="I19" s="110" t="s">
        <v>343</v>
      </c>
      <c r="J19" s="106" t="s">
        <v>241</v>
      </c>
      <c r="K19" s="106" t="s">
        <v>27</v>
      </c>
      <c r="L19" s="110" t="s">
        <v>344</v>
      </c>
      <c r="M19" s="110" t="s">
        <v>345</v>
      </c>
    </row>
    <row r="20" spans="1:13" ht="36" x14ac:dyDescent="0.25">
      <c r="A20" s="106">
        <v>7</v>
      </c>
      <c r="B20" s="107" t="s">
        <v>346</v>
      </c>
      <c r="C20" s="104"/>
      <c r="D20" s="110" t="s">
        <v>151</v>
      </c>
      <c r="E20" s="106" t="s">
        <v>313</v>
      </c>
      <c r="F20" s="110" t="s">
        <v>347</v>
      </c>
      <c r="G20" s="106" t="s">
        <v>348</v>
      </c>
      <c r="H20" s="110" t="s">
        <v>239</v>
      </c>
      <c r="I20" s="110" t="s">
        <v>349</v>
      </c>
      <c r="J20" s="106" t="s">
        <v>241</v>
      </c>
      <c r="K20" s="106" t="s">
        <v>27</v>
      </c>
      <c r="L20" s="110" t="s">
        <v>350</v>
      </c>
      <c r="M20" s="110" t="s">
        <v>351</v>
      </c>
    </row>
    <row r="21" spans="1:13" ht="36" x14ac:dyDescent="0.25">
      <c r="A21" s="106">
        <v>8</v>
      </c>
      <c r="B21" s="107" t="s">
        <v>352</v>
      </c>
      <c r="C21" s="104"/>
      <c r="D21" s="110" t="s">
        <v>183</v>
      </c>
      <c r="E21" s="106" t="s">
        <v>313</v>
      </c>
      <c r="F21" s="110" t="s">
        <v>353</v>
      </c>
      <c r="G21" s="106" t="s">
        <v>354</v>
      </c>
      <c r="H21" s="110" t="s">
        <v>248</v>
      </c>
      <c r="I21" s="110" t="s">
        <v>355</v>
      </c>
      <c r="J21" s="106" t="s">
        <v>241</v>
      </c>
      <c r="K21" s="106" t="s">
        <v>27</v>
      </c>
      <c r="L21" s="110" t="s">
        <v>356</v>
      </c>
      <c r="M21" s="110" t="s">
        <v>357</v>
      </c>
    </row>
    <row r="22" spans="1:13" ht="36" x14ac:dyDescent="0.25">
      <c r="A22" s="106">
        <v>9</v>
      </c>
      <c r="B22" s="107" t="s">
        <v>358</v>
      </c>
      <c r="C22" s="104"/>
      <c r="D22" s="110" t="s">
        <v>186</v>
      </c>
      <c r="E22" s="106" t="s">
        <v>313</v>
      </c>
      <c r="F22" s="110" t="s">
        <v>359</v>
      </c>
      <c r="G22" s="106" t="s">
        <v>360</v>
      </c>
      <c r="H22" s="110" t="s">
        <v>263</v>
      </c>
      <c r="I22" s="110" t="s">
        <v>361</v>
      </c>
      <c r="J22" s="106" t="s">
        <v>241</v>
      </c>
      <c r="K22" s="106" t="s">
        <v>27</v>
      </c>
      <c r="L22" s="110" t="s">
        <v>362</v>
      </c>
      <c r="M22" s="110" t="s">
        <v>363</v>
      </c>
    </row>
    <row r="23" spans="1:13" ht="36" x14ac:dyDescent="0.25">
      <c r="A23" s="106">
        <v>10</v>
      </c>
      <c r="B23" s="107" t="s">
        <v>364</v>
      </c>
      <c r="C23" s="104"/>
      <c r="D23" s="110" t="s">
        <v>154</v>
      </c>
      <c r="E23" s="106" t="s">
        <v>365</v>
      </c>
      <c r="F23" s="110" t="s">
        <v>366</v>
      </c>
      <c r="G23" s="106" t="s">
        <v>367</v>
      </c>
      <c r="H23" s="110" t="s">
        <v>239</v>
      </c>
      <c r="I23" s="110" t="s">
        <v>368</v>
      </c>
      <c r="J23" s="106" t="s">
        <v>241</v>
      </c>
      <c r="K23" s="106" t="s">
        <v>27</v>
      </c>
      <c r="L23" s="110" t="s">
        <v>369</v>
      </c>
      <c r="M23" s="110" t="s">
        <v>370</v>
      </c>
    </row>
    <row r="24" spans="1:13" ht="36" x14ac:dyDescent="0.25">
      <c r="A24" s="106">
        <v>11</v>
      </c>
      <c r="B24" s="107" t="s">
        <v>371</v>
      </c>
      <c r="C24" s="104"/>
      <c r="D24" s="110" t="s">
        <v>189</v>
      </c>
      <c r="E24" s="106" t="s">
        <v>313</v>
      </c>
      <c r="F24" s="110" t="s">
        <v>372</v>
      </c>
      <c r="G24" s="106" t="s">
        <v>373</v>
      </c>
      <c r="H24" s="110" t="s">
        <v>248</v>
      </c>
      <c r="I24" s="110" t="s">
        <v>374</v>
      </c>
      <c r="J24" s="106" t="s">
        <v>241</v>
      </c>
      <c r="K24" s="106" t="s">
        <v>27</v>
      </c>
      <c r="L24" s="110" t="s">
        <v>375</v>
      </c>
      <c r="M24" s="110" t="s">
        <v>376</v>
      </c>
    </row>
    <row r="25" spans="1:13" ht="24" x14ac:dyDescent="0.25">
      <c r="A25" s="106">
        <v>12</v>
      </c>
      <c r="B25" s="107" t="s">
        <v>377</v>
      </c>
      <c r="C25" s="104"/>
      <c r="D25" s="110" t="s">
        <v>192</v>
      </c>
      <c r="E25" s="106" t="s">
        <v>378</v>
      </c>
      <c r="F25" s="110" t="s">
        <v>379</v>
      </c>
      <c r="G25" s="106" t="s">
        <v>380</v>
      </c>
      <c r="H25" s="110" t="s">
        <v>248</v>
      </c>
      <c r="I25" s="110" t="s">
        <v>381</v>
      </c>
      <c r="J25" s="106" t="s">
        <v>241</v>
      </c>
      <c r="K25" s="106" t="s">
        <v>27</v>
      </c>
      <c r="L25" s="110" t="s">
        <v>382</v>
      </c>
      <c r="M25" s="110" t="s">
        <v>383</v>
      </c>
    </row>
    <row r="26" spans="1:13" ht="36" x14ac:dyDescent="0.25">
      <c r="A26" s="106">
        <v>13</v>
      </c>
      <c r="B26" s="107" t="s">
        <v>384</v>
      </c>
      <c r="C26" s="104"/>
      <c r="D26" s="110" t="s">
        <v>385</v>
      </c>
      <c r="E26" s="106" t="s">
        <v>313</v>
      </c>
      <c r="F26" s="110" t="s">
        <v>386</v>
      </c>
      <c r="G26" s="106" t="s">
        <v>387</v>
      </c>
      <c r="H26" s="110" t="s">
        <v>239</v>
      </c>
      <c r="I26" s="110" t="s">
        <v>388</v>
      </c>
      <c r="J26" s="106" t="s">
        <v>241</v>
      </c>
      <c r="K26" s="106" t="s">
        <v>27</v>
      </c>
      <c r="L26" s="110" t="s">
        <v>389</v>
      </c>
      <c r="M26" s="110" t="s">
        <v>390</v>
      </c>
    </row>
    <row r="27" spans="1:13" ht="24" x14ac:dyDescent="0.25">
      <c r="A27" s="106">
        <v>14</v>
      </c>
      <c r="B27" s="107" t="s">
        <v>391</v>
      </c>
      <c r="C27" s="104"/>
      <c r="D27" s="110" t="s">
        <v>392</v>
      </c>
      <c r="E27" s="106" t="s">
        <v>378</v>
      </c>
      <c r="F27" s="110" t="s">
        <v>393</v>
      </c>
      <c r="G27" s="106" t="s">
        <v>270</v>
      </c>
      <c r="H27" s="110" t="s">
        <v>271</v>
      </c>
      <c r="I27" s="110" t="s">
        <v>394</v>
      </c>
      <c r="J27" s="106" t="s">
        <v>241</v>
      </c>
      <c r="K27" s="106" t="s">
        <v>27</v>
      </c>
      <c r="L27" s="110" t="s">
        <v>395</v>
      </c>
      <c r="M27" s="110" t="s">
        <v>396</v>
      </c>
    </row>
    <row r="28" spans="1:13" ht="36" x14ac:dyDescent="0.25">
      <c r="A28" s="106">
        <v>15</v>
      </c>
      <c r="B28" s="107" t="s">
        <v>397</v>
      </c>
      <c r="C28" s="104"/>
      <c r="D28" s="110" t="s">
        <v>198</v>
      </c>
      <c r="E28" s="106" t="s">
        <v>313</v>
      </c>
      <c r="F28" s="110" t="s">
        <v>398</v>
      </c>
      <c r="G28" s="106" t="s">
        <v>399</v>
      </c>
      <c r="H28" s="110" t="s">
        <v>263</v>
      </c>
      <c r="I28" s="110" t="s">
        <v>400</v>
      </c>
      <c r="J28" s="106" t="s">
        <v>241</v>
      </c>
      <c r="K28" s="106" t="s">
        <v>27</v>
      </c>
      <c r="L28" s="110" t="s">
        <v>401</v>
      </c>
      <c r="M28" s="110" t="s">
        <v>402</v>
      </c>
    </row>
    <row r="29" spans="1:13" ht="36" x14ac:dyDescent="0.25">
      <c r="A29" s="106">
        <v>16</v>
      </c>
      <c r="B29" s="107" t="s">
        <v>403</v>
      </c>
      <c r="C29" s="104"/>
      <c r="D29" s="110" t="s">
        <v>201</v>
      </c>
      <c r="E29" s="106" t="s">
        <v>313</v>
      </c>
      <c r="F29" s="110" t="s">
        <v>404</v>
      </c>
      <c r="G29" s="106" t="s">
        <v>405</v>
      </c>
      <c r="H29" s="110" t="s">
        <v>263</v>
      </c>
      <c r="I29" s="110" t="s">
        <v>406</v>
      </c>
      <c r="J29" s="106" t="s">
        <v>241</v>
      </c>
      <c r="K29" s="106" t="s">
        <v>27</v>
      </c>
      <c r="L29" s="110" t="s">
        <v>407</v>
      </c>
      <c r="M29" s="110" t="s">
        <v>408</v>
      </c>
    </row>
    <row r="30" spans="1:13" ht="36" x14ac:dyDescent="0.25">
      <c r="A30" s="106">
        <v>17</v>
      </c>
      <c r="B30" s="107" t="s">
        <v>409</v>
      </c>
      <c r="C30" s="104"/>
      <c r="D30" s="110" t="s">
        <v>410</v>
      </c>
      <c r="E30" s="106" t="s">
        <v>313</v>
      </c>
      <c r="F30" s="110" t="s">
        <v>411</v>
      </c>
      <c r="G30" s="106" t="s">
        <v>412</v>
      </c>
      <c r="H30" s="110" t="s">
        <v>248</v>
      </c>
      <c r="I30" s="110" t="s">
        <v>413</v>
      </c>
      <c r="J30" s="106" t="s">
        <v>241</v>
      </c>
      <c r="K30" s="106" t="s">
        <v>27</v>
      </c>
      <c r="L30" s="110" t="s">
        <v>414</v>
      </c>
      <c r="M30" s="110" t="s">
        <v>415</v>
      </c>
    </row>
    <row r="31" spans="1:13" ht="24" x14ac:dyDescent="0.25">
      <c r="A31" s="106">
        <v>18</v>
      </c>
      <c r="B31" s="107" t="s">
        <v>416</v>
      </c>
      <c r="C31" s="104"/>
      <c r="D31" s="110" t="s">
        <v>195</v>
      </c>
      <c r="E31" s="106" t="s">
        <v>313</v>
      </c>
      <c r="F31" s="110" t="s">
        <v>417</v>
      </c>
      <c r="G31" s="106" t="s">
        <v>418</v>
      </c>
      <c r="H31" s="110" t="s">
        <v>263</v>
      </c>
      <c r="I31" s="110" t="s">
        <v>419</v>
      </c>
      <c r="J31" s="106" t="s">
        <v>241</v>
      </c>
      <c r="K31" s="106" t="s">
        <v>27</v>
      </c>
      <c r="L31" s="110" t="s">
        <v>420</v>
      </c>
      <c r="M31" s="110" t="s">
        <v>421</v>
      </c>
    </row>
    <row r="32" spans="1:13" ht="36" x14ac:dyDescent="0.25">
      <c r="A32" s="106">
        <v>19</v>
      </c>
      <c r="B32" s="107" t="s">
        <v>422</v>
      </c>
      <c r="C32" s="104"/>
      <c r="D32" s="110" t="s">
        <v>423</v>
      </c>
      <c r="E32" s="106" t="s">
        <v>313</v>
      </c>
      <c r="F32" s="110" t="s">
        <v>424</v>
      </c>
      <c r="G32" s="106" t="s">
        <v>425</v>
      </c>
      <c r="H32" s="110" t="s">
        <v>239</v>
      </c>
      <c r="I32" s="110" t="s">
        <v>426</v>
      </c>
      <c r="J32" s="106" t="s">
        <v>241</v>
      </c>
      <c r="K32" s="106" t="s">
        <v>27</v>
      </c>
      <c r="L32" s="110" t="s">
        <v>427</v>
      </c>
      <c r="M32" s="110" t="s">
        <v>428</v>
      </c>
    </row>
    <row r="33" spans="1:13" ht="24" x14ac:dyDescent="0.25">
      <c r="A33" s="106">
        <v>20</v>
      </c>
      <c r="B33" s="107" t="s">
        <v>429</v>
      </c>
      <c r="C33" s="104"/>
      <c r="D33" s="110" t="s">
        <v>430</v>
      </c>
      <c r="E33" s="106" t="s">
        <v>313</v>
      </c>
      <c r="F33" s="110" t="s">
        <v>431</v>
      </c>
      <c r="G33" s="106" t="s">
        <v>432</v>
      </c>
      <c r="H33" s="110" t="s">
        <v>433</v>
      </c>
      <c r="I33" s="110" t="s">
        <v>434</v>
      </c>
      <c r="J33" s="106" t="s">
        <v>435</v>
      </c>
      <c r="K33" s="106" t="s">
        <v>436</v>
      </c>
      <c r="L33" s="110" t="s">
        <v>437</v>
      </c>
      <c r="M33" s="110" t="s">
        <v>351</v>
      </c>
    </row>
    <row r="34" spans="1:13" ht="36" x14ac:dyDescent="0.25">
      <c r="A34" s="106">
        <v>21</v>
      </c>
      <c r="B34" s="107" t="s">
        <v>438</v>
      </c>
      <c r="C34" s="104"/>
      <c r="D34" s="110" t="s">
        <v>439</v>
      </c>
      <c r="E34" s="106" t="s">
        <v>378</v>
      </c>
      <c r="F34" s="110" t="s">
        <v>440</v>
      </c>
      <c r="G34" s="106" t="s">
        <v>278</v>
      </c>
      <c r="H34" s="110" t="s">
        <v>239</v>
      </c>
      <c r="I34" s="110" t="s">
        <v>441</v>
      </c>
      <c r="J34" s="106" t="s">
        <v>241</v>
      </c>
      <c r="K34" s="106" t="s">
        <v>27</v>
      </c>
      <c r="L34" s="110" t="s">
        <v>442</v>
      </c>
      <c r="M34" s="110" t="s">
        <v>443</v>
      </c>
    </row>
    <row r="35" spans="1:13" ht="36" x14ac:dyDescent="0.25">
      <c r="A35" s="106">
        <v>22</v>
      </c>
      <c r="B35" s="107" t="s">
        <v>444</v>
      </c>
      <c r="C35" s="104"/>
      <c r="D35" s="110" t="s">
        <v>217</v>
      </c>
      <c r="E35" s="106" t="s">
        <v>378</v>
      </c>
      <c r="F35" s="110" t="s">
        <v>445</v>
      </c>
      <c r="G35" s="106" t="s">
        <v>299</v>
      </c>
      <c r="H35" s="110" t="s">
        <v>300</v>
      </c>
      <c r="I35" s="110" t="s">
        <v>446</v>
      </c>
      <c r="J35" s="106" t="s">
        <v>241</v>
      </c>
      <c r="K35" s="106" t="s">
        <v>27</v>
      </c>
      <c r="L35" s="110" t="s">
        <v>302</v>
      </c>
      <c r="M35" s="110" t="s">
        <v>303</v>
      </c>
    </row>
  </sheetData>
  <mergeCells count="30">
    <mergeCell ref="B35:C35"/>
    <mergeCell ref="A11:A12"/>
    <mergeCell ref="A1:M1"/>
    <mergeCell ref="B29:C29"/>
    <mergeCell ref="B19:C19"/>
    <mergeCell ref="B34:C34"/>
    <mergeCell ref="B28:C28"/>
    <mergeCell ref="B24:C24"/>
    <mergeCell ref="B30:C30"/>
    <mergeCell ref="B15:C15"/>
    <mergeCell ref="B33:C33"/>
    <mergeCell ref="B11:C12"/>
    <mergeCell ref="B20:C20"/>
    <mergeCell ref="L11:M11"/>
    <mergeCell ref="B32:C32"/>
    <mergeCell ref="B26:C26"/>
    <mergeCell ref="E11:H11"/>
    <mergeCell ref="B31:C31"/>
    <mergeCell ref="B18:C18"/>
    <mergeCell ref="B27:C27"/>
    <mergeCell ref="B21:C21"/>
    <mergeCell ref="K11:K12"/>
    <mergeCell ref="B23:C23"/>
    <mergeCell ref="B14:C14"/>
    <mergeCell ref="B17:C17"/>
    <mergeCell ref="B16:C16"/>
    <mergeCell ref="B25:C25"/>
    <mergeCell ref="I11:J11"/>
    <mergeCell ref="B22:C22"/>
    <mergeCell ref="D11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sqref="A1:H1"/>
    </sheetView>
  </sheetViews>
  <sheetFormatPr defaultRowHeight="20.100000000000001" customHeight="1" x14ac:dyDescent="0.25"/>
  <cols>
    <col min="1" max="1" width="4.42578125" style="3" customWidth="1"/>
    <col min="2" max="2" width="18.140625" style="1" customWidth="1"/>
    <col min="3" max="3" width="28.28515625" style="1" customWidth="1"/>
    <col min="4" max="4" width="17.7109375" style="60" bestFit="1" customWidth="1"/>
    <col min="5" max="5" width="14.28515625" style="60" bestFit="1" customWidth="1"/>
    <col min="6" max="6" width="18.7109375" style="60" bestFit="1" customWidth="1"/>
    <col min="7" max="7" width="17" style="60" bestFit="1" customWidth="1"/>
    <col min="8" max="8" width="13.7109375" style="60" bestFit="1" customWidth="1"/>
  </cols>
  <sheetData>
    <row r="1" spans="1:8" ht="20.100000000000001" customHeight="1" x14ac:dyDescent="0.25">
      <c r="A1" s="94" t="s">
        <v>447</v>
      </c>
      <c r="B1" s="95"/>
      <c r="C1" s="95"/>
      <c r="D1" s="96"/>
      <c r="E1" s="96"/>
      <c r="F1" s="96"/>
      <c r="G1" s="96"/>
      <c r="H1" s="96"/>
    </row>
    <row r="2" spans="1:8" s="1" customFormat="1" ht="20.100000000000001" customHeight="1" x14ac:dyDescent="0.25">
      <c r="A2" s="45" t="s">
        <v>78</v>
      </c>
      <c r="B2" s="46"/>
      <c r="C2" s="47" t="s">
        <v>79</v>
      </c>
    </row>
    <row r="3" spans="1:8" s="1" customFormat="1" ht="20.100000000000001" customHeight="1" x14ac:dyDescent="0.25">
      <c r="A3" s="45" t="s">
        <v>283</v>
      </c>
      <c r="B3" s="46"/>
      <c r="C3" s="47" t="s">
        <v>81</v>
      </c>
    </row>
    <row r="4" spans="1:8" s="1" customFormat="1" ht="20.100000000000001" customHeight="1" x14ac:dyDescent="0.25">
      <c r="A4" s="45" t="s">
        <v>108</v>
      </c>
      <c r="B4" s="46"/>
      <c r="C4" s="47" t="s">
        <v>221</v>
      </c>
    </row>
    <row r="5" spans="1:8" s="1" customFormat="1" ht="20.100000000000001" customHeight="1" x14ac:dyDescent="0.25">
      <c r="A5" s="45" t="s">
        <v>82</v>
      </c>
      <c r="B5" s="46"/>
      <c r="C5" s="47" t="s">
        <v>222</v>
      </c>
    </row>
    <row r="6" spans="1:8" ht="20.100000000000001" customHeight="1" x14ac:dyDescent="0.25">
      <c r="A6" s="43"/>
      <c r="B6" s="48"/>
      <c r="C6" s="48"/>
      <c r="D6" s="42"/>
    </row>
    <row r="7" spans="1:8" ht="20.100000000000001" customHeight="1" x14ac:dyDescent="0.25">
      <c r="A7" s="44"/>
      <c r="B7" s="30"/>
    </row>
    <row r="8" spans="1:8" ht="20.100000000000001" customHeight="1" x14ac:dyDescent="0.25">
      <c r="A8" s="54" t="s">
        <v>84</v>
      </c>
      <c r="B8" s="75" t="s">
        <v>448</v>
      </c>
      <c r="C8" s="68"/>
      <c r="D8" s="54" t="s">
        <v>449</v>
      </c>
      <c r="E8" s="54" t="s">
        <v>450</v>
      </c>
      <c r="F8" s="54" t="s">
        <v>451</v>
      </c>
      <c r="G8" s="54" t="s">
        <v>452</v>
      </c>
      <c r="H8" s="54" t="s">
        <v>453</v>
      </c>
    </row>
    <row r="9" spans="1:8" ht="24" customHeight="1" x14ac:dyDescent="0.25">
      <c r="A9" s="53" t="s">
        <v>146</v>
      </c>
      <c r="B9" s="93" t="s">
        <v>454</v>
      </c>
      <c r="C9" s="68"/>
      <c r="D9" s="55" t="s">
        <v>247</v>
      </c>
      <c r="E9" s="53" t="s">
        <v>158</v>
      </c>
      <c r="F9" s="53" t="s">
        <v>155</v>
      </c>
      <c r="G9" s="53" t="s">
        <v>207</v>
      </c>
      <c r="H9" s="55" t="s">
        <v>455</v>
      </c>
    </row>
    <row r="10" spans="1:8" ht="24" customHeight="1" x14ac:dyDescent="0.25">
      <c r="A10" s="53" t="s">
        <v>149</v>
      </c>
      <c r="B10" s="93" t="s">
        <v>456</v>
      </c>
      <c r="C10" s="68"/>
      <c r="D10" s="55" t="s">
        <v>255</v>
      </c>
      <c r="E10" s="53" t="s">
        <v>155</v>
      </c>
      <c r="F10" s="53" t="s">
        <v>155</v>
      </c>
      <c r="G10" s="53" t="s">
        <v>193</v>
      </c>
      <c r="H10" s="55" t="s">
        <v>455</v>
      </c>
    </row>
    <row r="11" spans="1:8" ht="24" customHeight="1" x14ac:dyDescent="0.25">
      <c r="A11" s="53" t="s">
        <v>152</v>
      </c>
      <c r="B11" s="93" t="s">
        <v>457</v>
      </c>
      <c r="C11" s="68"/>
      <c r="D11" s="55" t="s">
        <v>262</v>
      </c>
      <c r="E11" s="53" t="s">
        <v>155</v>
      </c>
      <c r="F11" s="53" t="s">
        <v>155</v>
      </c>
      <c r="G11" s="53" t="s">
        <v>193</v>
      </c>
      <c r="H11" s="55" t="s">
        <v>455</v>
      </c>
    </row>
    <row r="12" spans="1:8" ht="24" customHeight="1" x14ac:dyDescent="0.25">
      <c r="A12" s="53" t="s">
        <v>155</v>
      </c>
      <c r="B12" s="93" t="s">
        <v>458</v>
      </c>
      <c r="C12" s="68"/>
      <c r="D12" s="55" t="s">
        <v>270</v>
      </c>
      <c r="E12" s="53" t="s">
        <v>155</v>
      </c>
      <c r="F12" s="53" t="s">
        <v>155</v>
      </c>
      <c r="G12" s="53" t="s">
        <v>193</v>
      </c>
      <c r="H12" s="55" t="s">
        <v>455</v>
      </c>
    </row>
    <row r="13" spans="1:8" ht="24" customHeight="1" x14ac:dyDescent="0.25">
      <c r="A13" s="53" t="s">
        <v>158</v>
      </c>
      <c r="B13" s="93" t="s">
        <v>459</v>
      </c>
      <c r="C13" s="68"/>
      <c r="D13" s="55" t="s">
        <v>278</v>
      </c>
      <c r="E13" s="53" t="s">
        <v>155</v>
      </c>
      <c r="F13" s="53" t="s">
        <v>155</v>
      </c>
      <c r="G13" s="53" t="s">
        <v>193</v>
      </c>
      <c r="H13" s="55" t="s">
        <v>455</v>
      </c>
    </row>
    <row r="14" spans="1:8" ht="24" customHeight="1" x14ac:dyDescent="0.25">
      <c r="A14" s="53" t="s">
        <v>161</v>
      </c>
      <c r="B14" s="93" t="s">
        <v>460</v>
      </c>
      <c r="C14" s="68"/>
      <c r="D14" s="55" t="s">
        <v>299</v>
      </c>
      <c r="E14" s="53" t="s">
        <v>155</v>
      </c>
      <c r="F14" s="53" t="s">
        <v>155</v>
      </c>
      <c r="G14" s="53" t="s">
        <v>193</v>
      </c>
      <c r="H14" s="55" t="s">
        <v>455</v>
      </c>
    </row>
    <row r="15" spans="1:8" ht="24" customHeight="1" x14ac:dyDescent="0.25">
      <c r="A15" s="53" t="s">
        <v>164</v>
      </c>
      <c r="B15" s="93" t="s">
        <v>461</v>
      </c>
      <c r="C15" s="68"/>
      <c r="D15" s="55" t="s">
        <v>238</v>
      </c>
      <c r="E15" s="53" t="s">
        <v>158</v>
      </c>
      <c r="F15" s="53" t="s">
        <v>152</v>
      </c>
      <c r="G15" s="53" t="s">
        <v>190</v>
      </c>
      <c r="H15" s="55" t="s">
        <v>462</v>
      </c>
    </row>
    <row r="16" spans="1:8" ht="24" customHeight="1" x14ac:dyDescent="0.25">
      <c r="A16" s="53" t="s">
        <v>169</v>
      </c>
      <c r="B16" s="93" t="s">
        <v>463</v>
      </c>
      <c r="C16" s="68"/>
      <c r="D16" s="55" t="s">
        <v>432</v>
      </c>
      <c r="E16" s="53" t="s">
        <v>152</v>
      </c>
      <c r="F16" s="53" t="s">
        <v>155</v>
      </c>
      <c r="G16" s="53" t="s">
        <v>181</v>
      </c>
      <c r="H16" s="55" t="s">
        <v>462</v>
      </c>
    </row>
    <row r="17" spans="1:8" ht="24" customHeight="1" x14ac:dyDescent="0.25">
      <c r="A17" s="53" t="s">
        <v>172</v>
      </c>
      <c r="B17" s="93" t="s">
        <v>464</v>
      </c>
      <c r="C17" s="68"/>
      <c r="D17" s="55" t="s">
        <v>335</v>
      </c>
      <c r="E17" s="53" t="s">
        <v>155</v>
      </c>
      <c r="F17" s="53" t="s">
        <v>152</v>
      </c>
      <c r="G17" s="53" t="s">
        <v>181</v>
      </c>
      <c r="H17" s="55" t="s">
        <v>462</v>
      </c>
    </row>
    <row r="18" spans="1:8" ht="24" customHeight="1" x14ac:dyDescent="0.25">
      <c r="A18" s="53" t="s">
        <v>175</v>
      </c>
      <c r="B18" s="93" t="s">
        <v>465</v>
      </c>
      <c r="C18" s="68"/>
      <c r="D18" s="55" t="s">
        <v>342</v>
      </c>
      <c r="E18" s="53" t="s">
        <v>152</v>
      </c>
      <c r="F18" s="53" t="s">
        <v>152</v>
      </c>
      <c r="G18" s="53" t="s">
        <v>172</v>
      </c>
      <c r="H18" s="55" t="s">
        <v>466</v>
      </c>
    </row>
    <row r="19" spans="1:8" ht="24" customHeight="1" x14ac:dyDescent="0.25">
      <c r="A19" s="53" t="s">
        <v>178</v>
      </c>
      <c r="B19" s="93" t="s">
        <v>467</v>
      </c>
      <c r="C19" s="68"/>
      <c r="D19" s="55" t="s">
        <v>354</v>
      </c>
      <c r="E19" s="53" t="s">
        <v>152</v>
      </c>
      <c r="F19" s="53" t="s">
        <v>152</v>
      </c>
      <c r="G19" s="53" t="s">
        <v>172</v>
      </c>
      <c r="H19" s="55" t="s">
        <v>466</v>
      </c>
    </row>
    <row r="20" spans="1:8" ht="24" customHeight="1" x14ac:dyDescent="0.25">
      <c r="A20" s="53" t="s">
        <v>181</v>
      </c>
      <c r="B20" s="93" t="s">
        <v>468</v>
      </c>
      <c r="C20" s="68"/>
      <c r="D20" s="55" t="s">
        <v>360</v>
      </c>
      <c r="E20" s="53" t="s">
        <v>152</v>
      </c>
      <c r="F20" s="53" t="s">
        <v>152</v>
      </c>
      <c r="G20" s="53" t="s">
        <v>172</v>
      </c>
      <c r="H20" s="55" t="s">
        <v>466</v>
      </c>
    </row>
    <row r="21" spans="1:8" ht="24" customHeight="1" x14ac:dyDescent="0.25">
      <c r="A21" s="53" t="s">
        <v>184</v>
      </c>
      <c r="B21" s="93" t="s">
        <v>469</v>
      </c>
      <c r="C21" s="68"/>
      <c r="D21" s="55" t="s">
        <v>380</v>
      </c>
      <c r="E21" s="53" t="s">
        <v>152</v>
      </c>
      <c r="F21" s="53" t="s">
        <v>152</v>
      </c>
      <c r="G21" s="53" t="s">
        <v>172</v>
      </c>
      <c r="H21" s="55" t="s">
        <v>466</v>
      </c>
    </row>
    <row r="22" spans="1:8" ht="24" customHeight="1" x14ac:dyDescent="0.25">
      <c r="A22" s="53" t="s">
        <v>187</v>
      </c>
      <c r="B22" s="93" t="s">
        <v>470</v>
      </c>
      <c r="C22" s="68"/>
      <c r="D22" s="55" t="s">
        <v>387</v>
      </c>
      <c r="E22" s="53" t="s">
        <v>152</v>
      </c>
      <c r="F22" s="53" t="s">
        <v>152</v>
      </c>
      <c r="G22" s="53" t="s">
        <v>172</v>
      </c>
      <c r="H22" s="55" t="s">
        <v>466</v>
      </c>
    </row>
    <row r="23" spans="1:8" ht="24" customHeight="1" x14ac:dyDescent="0.25">
      <c r="A23" s="53" t="s">
        <v>190</v>
      </c>
      <c r="B23" s="93" t="s">
        <v>471</v>
      </c>
      <c r="C23" s="68"/>
      <c r="D23" s="55" t="s">
        <v>418</v>
      </c>
      <c r="E23" s="53" t="s">
        <v>152</v>
      </c>
      <c r="F23" s="53" t="s">
        <v>152</v>
      </c>
      <c r="G23" s="53" t="s">
        <v>172</v>
      </c>
      <c r="H23" s="55" t="s">
        <v>466</v>
      </c>
    </row>
    <row r="24" spans="1:8" ht="24" customHeight="1" x14ac:dyDescent="0.25">
      <c r="A24" s="53" t="s">
        <v>193</v>
      </c>
      <c r="B24" s="93" t="s">
        <v>472</v>
      </c>
      <c r="C24" s="68"/>
      <c r="D24" s="55" t="s">
        <v>425</v>
      </c>
      <c r="E24" s="53" t="s">
        <v>152</v>
      </c>
      <c r="F24" s="53" t="s">
        <v>152</v>
      </c>
      <c r="G24" s="53" t="s">
        <v>172</v>
      </c>
      <c r="H24" s="55" t="s">
        <v>466</v>
      </c>
    </row>
    <row r="25" spans="1:8" ht="24" customHeight="1" x14ac:dyDescent="0.25">
      <c r="A25" s="53" t="s">
        <v>196</v>
      </c>
      <c r="B25" s="93" t="s">
        <v>473</v>
      </c>
      <c r="C25" s="68"/>
      <c r="D25" s="55" t="s">
        <v>348</v>
      </c>
      <c r="E25" s="53" t="s">
        <v>155</v>
      </c>
      <c r="F25" s="53" t="s">
        <v>149</v>
      </c>
      <c r="G25" s="53" t="s">
        <v>169</v>
      </c>
      <c r="H25" s="55" t="s">
        <v>466</v>
      </c>
    </row>
    <row r="26" spans="1:8" ht="24" customHeight="1" x14ac:dyDescent="0.25">
      <c r="A26" s="53" t="s">
        <v>199</v>
      </c>
      <c r="B26" s="93" t="s">
        <v>474</v>
      </c>
      <c r="C26" s="68"/>
      <c r="D26" s="55" t="s">
        <v>367</v>
      </c>
      <c r="E26" s="53" t="s">
        <v>152</v>
      </c>
      <c r="F26" s="53" t="s">
        <v>149</v>
      </c>
      <c r="G26" s="53" t="s">
        <v>161</v>
      </c>
      <c r="H26" s="55" t="s">
        <v>475</v>
      </c>
    </row>
    <row r="27" spans="1:8" ht="24" customHeight="1" x14ac:dyDescent="0.25">
      <c r="A27" s="53" t="s">
        <v>202</v>
      </c>
      <c r="B27" s="93" t="s">
        <v>476</v>
      </c>
      <c r="C27" s="68"/>
      <c r="D27" s="55" t="s">
        <v>373</v>
      </c>
      <c r="E27" s="53" t="s">
        <v>152</v>
      </c>
      <c r="F27" s="53" t="s">
        <v>152</v>
      </c>
      <c r="G27" s="53" t="s">
        <v>172</v>
      </c>
      <c r="H27" s="55" t="s">
        <v>466</v>
      </c>
    </row>
    <row r="28" spans="1:8" ht="24" customHeight="1" x14ac:dyDescent="0.25">
      <c r="A28" s="53" t="s">
        <v>207</v>
      </c>
      <c r="B28" s="93" t="s">
        <v>477</v>
      </c>
      <c r="C28" s="68"/>
      <c r="D28" s="55" t="s">
        <v>399</v>
      </c>
      <c r="E28" s="53" t="s">
        <v>152</v>
      </c>
      <c r="F28" s="53" t="s">
        <v>152</v>
      </c>
      <c r="G28" s="53" t="s">
        <v>172</v>
      </c>
      <c r="H28" s="55" t="s">
        <v>466</v>
      </c>
    </row>
    <row r="29" spans="1:8" ht="24" customHeight="1" x14ac:dyDescent="0.25">
      <c r="A29" s="53" t="s">
        <v>212</v>
      </c>
      <c r="B29" s="93" t="s">
        <v>478</v>
      </c>
      <c r="C29" s="68"/>
      <c r="D29" s="55" t="s">
        <v>405</v>
      </c>
      <c r="E29" s="53" t="s">
        <v>152</v>
      </c>
      <c r="F29" s="53" t="s">
        <v>152</v>
      </c>
      <c r="G29" s="53" t="s">
        <v>172</v>
      </c>
      <c r="H29" s="55" t="s">
        <v>466</v>
      </c>
    </row>
    <row r="30" spans="1:8" ht="24" customHeight="1" x14ac:dyDescent="0.25">
      <c r="A30" s="53" t="s">
        <v>215</v>
      </c>
      <c r="B30" s="93" t="s">
        <v>479</v>
      </c>
      <c r="C30" s="68"/>
      <c r="D30" s="55" t="s">
        <v>412</v>
      </c>
      <c r="E30" s="53" t="s">
        <v>149</v>
      </c>
      <c r="F30" s="53" t="s">
        <v>152</v>
      </c>
      <c r="G30" s="53" t="s">
        <v>161</v>
      </c>
      <c r="H30" s="55" t="s">
        <v>475</v>
      </c>
    </row>
  </sheetData>
  <mergeCells count="24">
    <mergeCell ref="B30:C30"/>
    <mergeCell ref="B15:C15"/>
    <mergeCell ref="B20:C20"/>
    <mergeCell ref="B26:C26"/>
    <mergeCell ref="B29:C29"/>
    <mergeCell ref="B19:C19"/>
    <mergeCell ref="B10:C10"/>
    <mergeCell ref="B28:C28"/>
    <mergeCell ref="B9:C9"/>
    <mergeCell ref="B24:C24"/>
    <mergeCell ref="B16:C16"/>
    <mergeCell ref="B25:C25"/>
    <mergeCell ref="B22:C22"/>
    <mergeCell ref="A1:H1"/>
    <mergeCell ref="B27:C27"/>
    <mergeCell ref="B18:C18"/>
    <mergeCell ref="B12:C12"/>
    <mergeCell ref="B21:C21"/>
    <mergeCell ref="B11:C11"/>
    <mergeCell ref="B23:C23"/>
    <mergeCell ref="B14:C14"/>
    <mergeCell ref="B17:C17"/>
    <mergeCell ref="B8:C8"/>
    <mergeCell ref="B13:C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>
      <selection activeCell="B6" sqref="B6"/>
    </sheetView>
  </sheetViews>
  <sheetFormatPr defaultRowHeight="15" x14ac:dyDescent="0.25"/>
  <cols>
    <col min="1" max="6" width="20.7109375" style="60" customWidth="1"/>
  </cols>
  <sheetData>
    <row r="2" spans="1:6" x14ac:dyDescent="0.25">
      <c r="A2" s="30" t="s">
        <v>480</v>
      </c>
    </row>
    <row r="3" spans="1:6" ht="25.5" customHeight="1" x14ac:dyDescent="0.25">
      <c r="A3" s="75" t="s">
        <v>481</v>
      </c>
      <c r="B3" s="75" t="s">
        <v>482</v>
      </c>
      <c r="C3" s="67"/>
      <c r="D3" s="67"/>
      <c r="E3" s="67"/>
      <c r="F3" s="68"/>
    </row>
    <row r="4" spans="1:6" x14ac:dyDescent="0.25">
      <c r="A4" s="65"/>
      <c r="B4" s="54" t="s">
        <v>483</v>
      </c>
      <c r="C4" s="54" t="s">
        <v>484</v>
      </c>
      <c r="D4" s="54" t="s">
        <v>485</v>
      </c>
      <c r="E4" s="54" t="s">
        <v>486</v>
      </c>
      <c r="F4" s="54" t="s">
        <v>487</v>
      </c>
    </row>
    <row r="5" spans="1:6" x14ac:dyDescent="0.25">
      <c r="A5" s="23" t="s">
        <v>488</v>
      </c>
      <c r="B5" s="24" t="s">
        <v>489</v>
      </c>
      <c r="C5" s="25" t="s">
        <v>490</v>
      </c>
      <c r="D5" s="26" t="s">
        <v>491</v>
      </c>
      <c r="E5" s="27" t="s">
        <v>492</v>
      </c>
      <c r="F5" s="28" t="s">
        <v>493</v>
      </c>
    </row>
    <row r="6" spans="1:6" ht="89.25" customHeight="1" x14ac:dyDescent="0.25">
      <c r="A6" s="23" t="s">
        <v>494</v>
      </c>
      <c r="B6" s="29" t="s">
        <v>495</v>
      </c>
      <c r="C6" s="24" t="s">
        <v>496</v>
      </c>
      <c r="D6" s="25" t="s">
        <v>497</v>
      </c>
      <c r="E6" s="27" t="s">
        <v>498</v>
      </c>
      <c r="F6" s="28" t="s">
        <v>499</v>
      </c>
    </row>
    <row r="7" spans="1:6" ht="76.5" customHeight="1" x14ac:dyDescent="0.25">
      <c r="A7" s="23" t="s">
        <v>500</v>
      </c>
      <c r="B7" s="29" t="s">
        <v>501</v>
      </c>
      <c r="C7" s="29" t="s">
        <v>502</v>
      </c>
      <c r="D7" s="24" t="s">
        <v>503</v>
      </c>
      <c r="E7" s="25" t="s">
        <v>504</v>
      </c>
      <c r="F7" s="26" t="s">
        <v>505</v>
      </c>
    </row>
    <row r="8" spans="1:6" ht="25.5" customHeight="1" x14ac:dyDescent="0.25">
      <c r="A8" s="23" t="s">
        <v>506</v>
      </c>
      <c r="B8" s="29" t="s">
        <v>507</v>
      </c>
      <c r="C8" s="29" t="s">
        <v>495</v>
      </c>
      <c r="D8" s="29" t="s">
        <v>508</v>
      </c>
      <c r="E8" s="24" t="s">
        <v>509</v>
      </c>
      <c r="F8" s="25" t="s">
        <v>490</v>
      </c>
    </row>
    <row r="9" spans="1:6" x14ac:dyDescent="0.25">
      <c r="A9" s="23" t="s">
        <v>510</v>
      </c>
      <c r="B9" s="29" t="s">
        <v>511</v>
      </c>
      <c r="C9" s="29" t="s">
        <v>507</v>
      </c>
      <c r="D9" s="29" t="s">
        <v>501</v>
      </c>
      <c r="E9" s="29" t="s">
        <v>495</v>
      </c>
      <c r="F9" s="24" t="s">
        <v>489</v>
      </c>
    </row>
    <row r="10" spans="1:6" x14ac:dyDescent="0.25">
      <c r="A10" s="6"/>
      <c r="B10" s="6"/>
      <c r="C10" s="6"/>
      <c r="D10" s="6"/>
      <c r="E10" s="6"/>
      <c r="F10" s="6"/>
    </row>
  </sheetData>
  <mergeCells count="2">
    <mergeCell ref="A3:A4"/>
    <mergeCell ref="B3:F3"/>
  </mergeCells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5" sqref="A5:C5"/>
    </sheetView>
  </sheetViews>
  <sheetFormatPr defaultRowHeight="20.100000000000001" customHeight="1" x14ac:dyDescent="0.25"/>
  <cols>
    <col min="1" max="1" width="3.28515625" style="60" bestFit="1" customWidth="1"/>
    <col min="2" max="2" width="39.85546875" style="60" bestFit="1" customWidth="1"/>
    <col min="3" max="3" width="17.7109375" style="60" bestFit="1" customWidth="1"/>
    <col min="4" max="4" width="8" style="60" customWidth="1"/>
    <col min="5" max="5" width="26.5703125" style="60" bestFit="1" customWidth="1"/>
    <col min="6" max="6" width="43.5703125" style="60" bestFit="1" customWidth="1"/>
    <col min="7" max="7" width="39.42578125" style="60" bestFit="1" customWidth="1"/>
  </cols>
  <sheetData>
    <row r="1" spans="1:8" ht="20.100000000000001" customHeight="1" x14ac:dyDescent="0.25">
      <c r="A1" s="94" t="s">
        <v>512</v>
      </c>
      <c r="B1" s="96"/>
      <c r="C1" s="96"/>
      <c r="D1" s="96"/>
      <c r="E1" s="96"/>
      <c r="F1" s="96"/>
      <c r="G1" s="96"/>
      <c r="H1" s="30"/>
    </row>
    <row r="2" spans="1:8" ht="20.100000000000001" customHeight="1" x14ac:dyDescent="0.25">
      <c r="A2" s="45" t="s">
        <v>78</v>
      </c>
      <c r="B2" s="46"/>
      <c r="C2" s="47" t="s">
        <v>79</v>
      </c>
      <c r="D2" s="1"/>
      <c r="E2" s="1"/>
      <c r="F2" s="1"/>
      <c r="G2" s="1"/>
      <c r="H2" s="1"/>
    </row>
    <row r="3" spans="1:8" ht="20.100000000000001" customHeight="1" x14ac:dyDescent="0.25">
      <c r="A3" s="45" t="s">
        <v>283</v>
      </c>
      <c r="B3" s="46"/>
      <c r="C3" s="47" t="s">
        <v>81</v>
      </c>
      <c r="D3" s="1"/>
      <c r="E3" s="1"/>
      <c r="F3" s="1"/>
      <c r="G3" s="1"/>
      <c r="H3" s="1"/>
    </row>
    <row r="4" spans="1:8" ht="20.100000000000001" customHeight="1" x14ac:dyDescent="0.25">
      <c r="A4" s="45" t="s">
        <v>108</v>
      </c>
      <c r="B4" s="46"/>
      <c r="C4" s="47" t="s">
        <v>221</v>
      </c>
      <c r="D4" s="1"/>
      <c r="E4" s="1"/>
      <c r="F4" s="1"/>
      <c r="G4" s="1"/>
      <c r="H4" s="1"/>
    </row>
    <row r="5" spans="1:8" ht="20.100000000000001" customHeight="1" x14ac:dyDescent="0.25">
      <c r="A5" s="45" t="s">
        <v>82</v>
      </c>
      <c r="B5" s="46"/>
      <c r="C5" s="47" t="s">
        <v>222</v>
      </c>
      <c r="D5" s="1"/>
      <c r="E5" s="1"/>
      <c r="F5" s="1"/>
      <c r="G5" s="1"/>
      <c r="H5" s="1"/>
    </row>
    <row r="6" spans="1:8" ht="20.100000000000001" customHeight="1" x14ac:dyDescent="0.25">
      <c r="A6" s="30"/>
    </row>
    <row r="7" spans="1:8" ht="25.5" customHeight="1" x14ac:dyDescent="0.25">
      <c r="A7" s="54" t="s">
        <v>84</v>
      </c>
      <c r="B7" s="54" t="s">
        <v>513</v>
      </c>
      <c r="C7" s="54" t="s">
        <v>449</v>
      </c>
      <c r="D7" s="54" t="s">
        <v>514</v>
      </c>
      <c r="E7" s="54" t="s">
        <v>515</v>
      </c>
      <c r="F7" s="54" t="s">
        <v>516</v>
      </c>
      <c r="G7" s="54" t="s">
        <v>517</v>
      </c>
    </row>
    <row r="8" spans="1:8" ht="20.100000000000001" customHeight="1" x14ac:dyDescent="0.25">
      <c r="A8" s="53" t="s">
        <v>146</v>
      </c>
      <c r="B8" s="55" t="s">
        <v>518</v>
      </c>
      <c r="C8" s="55" t="s">
        <v>247</v>
      </c>
      <c r="D8" s="53" t="s">
        <v>207</v>
      </c>
      <c r="E8" s="55" t="s">
        <v>248</v>
      </c>
      <c r="F8" s="55" t="s">
        <v>519</v>
      </c>
      <c r="G8" s="55" t="s">
        <v>520</v>
      </c>
    </row>
    <row r="9" spans="1:8" ht="20.100000000000001" customHeight="1" x14ac:dyDescent="0.25">
      <c r="A9" s="53" t="s">
        <v>149</v>
      </c>
      <c r="B9" s="55" t="s">
        <v>521</v>
      </c>
      <c r="C9" s="55" t="s">
        <v>255</v>
      </c>
      <c r="D9" s="53" t="s">
        <v>193</v>
      </c>
      <c r="E9" s="55" t="s">
        <v>248</v>
      </c>
      <c r="F9" s="55" t="s">
        <v>522</v>
      </c>
      <c r="G9" s="55" t="s">
        <v>523</v>
      </c>
    </row>
    <row r="10" spans="1:8" ht="20.100000000000001" customHeight="1" x14ac:dyDescent="0.25">
      <c r="A10" s="53" t="s">
        <v>152</v>
      </c>
      <c r="B10" s="55" t="s">
        <v>524</v>
      </c>
      <c r="C10" s="55" t="s">
        <v>262</v>
      </c>
      <c r="D10" s="53" t="s">
        <v>193</v>
      </c>
      <c r="E10" s="55" t="s">
        <v>263</v>
      </c>
      <c r="F10" s="55" t="s">
        <v>330</v>
      </c>
      <c r="G10" s="55" t="s">
        <v>525</v>
      </c>
    </row>
    <row r="11" spans="1:8" ht="20.100000000000001" customHeight="1" x14ac:dyDescent="0.25">
      <c r="A11" s="53" t="s">
        <v>155</v>
      </c>
      <c r="B11" s="55" t="s">
        <v>526</v>
      </c>
      <c r="C11" s="55" t="s">
        <v>270</v>
      </c>
      <c r="D11" s="53" t="s">
        <v>193</v>
      </c>
      <c r="E11" s="55" t="s">
        <v>271</v>
      </c>
      <c r="F11" s="55" t="s">
        <v>527</v>
      </c>
      <c r="G11" s="55" t="s">
        <v>528</v>
      </c>
    </row>
    <row r="12" spans="1:8" ht="20.100000000000001" customHeight="1" x14ac:dyDescent="0.25">
      <c r="A12" s="53" t="s">
        <v>158</v>
      </c>
      <c r="B12" s="55" t="s">
        <v>529</v>
      </c>
      <c r="C12" s="55" t="s">
        <v>278</v>
      </c>
      <c r="D12" s="53" t="s">
        <v>193</v>
      </c>
      <c r="E12" s="55" t="s">
        <v>239</v>
      </c>
      <c r="F12" s="55" t="s">
        <v>530</v>
      </c>
      <c r="G12" s="55" t="s">
        <v>531</v>
      </c>
    </row>
    <row r="13" spans="1:8" ht="20.100000000000001" customHeight="1" x14ac:dyDescent="0.25">
      <c r="A13" s="53" t="s">
        <v>161</v>
      </c>
      <c r="B13" s="55" t="s">
        <v>532</v>
      </c>
      <c r="C13" s="55" t="s">
        <v>299</v>
      </c>
      <c r="D13" s="53" t="s">
        <v>193</v>
      </c>
      <c r="E13" s="55" t="s">
        <v>300</v>
      </c>
      <c r="F13" s="55" t="s">
        <v>533</v>
      </c>
      <c r="G13" s="55" t="s">
        <v>302</v>
      </c>
    </row>
    <row r="14" spans="1:8" ht="20.100000000000001" customHeight="1" x14ac:dyDescent="0.25">
      <c r="A14" s="53" t="s">
        <v>164</v>
      </c>
      <c r="B14" s="55" t="s">
        <v>534</v>
      </c>
      <c r="C14" s="55" t="s">
        <v>238</v>
      </c>
      <c r="D14" s="53" t="s">
        <v>190</v>
      </c>
      <c r="E14" s="55" t="s">
        <v>239</v>
      </c>
      <c r="F14" s="55" t="s">
        <v>535</v>
      </c>
      <c r="G14" s="55" t="s">
        <v>536</v>
      </c>
    </row>
    <row r="15" spans="1:8" ht="20.100000000000001" customHeight="1" x14ac:dyDescent="0.25">
      <c r="A15" s="53" t="s">
        <v>169</v>
      </c>
      <c r="B15" s="55" t="s">
        <v>537</v>
      </c>
      <c r="C15" s="55" t="s">
        <v>432</v>
      </c>
      <c r="D15" s="53" t="s">
        <v>181</v>
      </c>
      <c r="E15" s="55" t="s">
        <v>433</v>
      </c>
      <c r="F15" s="55" t="s">
        <v>538</v>
      </c>
      <c r="G15" s="55" t="s">
        <v>539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>
      <selection activeCell="D17" sqref="D17"/>
    </sheetView>
  </sheetViews>
  <sheetFormatPr defaultRowHeight="15.75" x14ac:dyDescent="0.25"/>
  <cols>
    <col min="1" max="1" width="6.140625" style="59" customWidth="1"/>
    <col min="2" max="2" width="10.28515625" style="59" customWidth="1"/>
    <col min="3" max="3" width="42.140625" style="34" customWidth="1"/>
    <col min="4" max="4" width="49" style="34" customWidth="1"/>
    <col min="5" max="5" width="23.5703125" style="34" customWidth="1"/>
    <col min="6" max="6" width="20.28515625" style="34" customWidth="1"/>
    <col min="7" max="7" width="9.140625" style="31" customWidth="1"/>
    <col min="8" max="16384" width="9.140625" style="31"/>
  </cols>
  <sheetData>
    <row r="2" spans="1:9" x14ac:dyDescent="0.25">
      <c r="A2" s="94" t="s">
        <v>447</v>
      </c>
      <c r="B2" s="97"/>
      <c r="C2" s="98"/>
      <c r="D2" s="98"/>
      <c r="E2" s="98"/>
      <c r="F2" s="98"/>
      <c r="G2" s="99"/>
      <c r="H2" s="99"/>
      <c r="I2" s="99"/>
    </row>
    <row r="3" spans="1:9" x14ac:dyDescent="0.25">
      <c r="A3" s="45" t="s">
        <v>78</v>
      </c>
      <c r="B3" s="45"/>
      <c r="C3" s="47" t="s">
        <v>79</v>
      </c>
      <c r="D3" s="47"/>
      <c r="E3" s="1"/>
      <c r="F3" s="1"/>
      <c r="G3" s="1"/>
      <c r="H3" s="1"/>
      <c r="I3" s="1"/>
    </row>
    <row r="4" spans="1:9" x14ac:dyDescent="0.25">
      <c r="A4" s="45" t="s">
        <v>283</v>
      </c>
      <c r="B4" s="45"/>
      <c r="C4" s="47" t="s">
        <v>81</v>
      </c>
      <c r="D4" s="47"/>
      <c r="E4" s="1"/>
      <c r="F4" s="1"/>
      <c r="G4" s="1"/>
      <c r="H4" s="1"/>
      <c r="I4" s="1"/>
    </row>
    <row r="5" spans="1:9" s="33" customFormat="1" ht="31.5" customHeight="1" x14ac:dyDescent="0.25">
      <c r="A5" s="32" t="s">
        <v>84</v>
      </c>
      <c r="B5" s="101" t="s">
        <v>540</v>
      </c>
      <c r="C5" s="68"/>
      <c r="D5" s="35" t="s">
        <v>541</v>
      </c>
      <c r="E5" s="35" t="s">
        <v>542</v>
      </c>
      <c r="F5" s="35" t="s">
        <v>543</v>
      </c>
    </row>
    <row r="6" spans="1:9" x14ac:dyDescent="0.25">
      <c r="A6" s="32" t="s">
        <v>144</v>
      </c>
      <c r="B6" s="100" t="s">
        <v>21</v>
      </c>
      <c r="C6" s="67"/>
      <c r="D6" s="67"/>
      <c r="E6" s="67"/>
      <c r="F6" s="68"/>
    </row>
    <row r="7" spans="1:9" ht="47.25" customHeight="1" x14ac:dyDescent="0.25">
      <c r="A7" s="32">
        <v>1</v>
      </c>
      <c r="B7" s="100" t="s">
        <v>544</v>
      </c>
      <c r="C7" s="68"/>
      <c r="D7" s="36" t="s">
        <v>545</v>
      </c>
      <c r="E7" s="36" t="s">
        <v>546</v>
      </c>
      <c r="F7" s="36" t="s">
        <v>547</v>
      </c>
    </row>
    <row r="8" spans="1:9" x14ac:dyDescent="0.25">
      <c r="A8" s="32" t="s">
        <v>167</v>
      </c>
      <c r="B8" s="100" t="s">
        <v>548</v>
      </c>
      <c r="C8" s="67"/>
      <c r="D8" s="67"/>
      <c r="E8" s="67"/>
      <c r="F8" s="68"/>
    </row>
    <row r="9" spans="1:9" ht="47.25" customHeight="1" x14ac:dyDescent="0.25">
      <c r="A9" s="32">
        <v>2</v>
      </c>
      <c r="B9" s="100" t="s">
        <v>549</v>
      </c>
      <c r="C9" s="68"/>
      <c r="D9" s="36" t="s">
        <v>550</v>
      </c>
      <c r="E9" s="36" t="s">
        <v>551</v>
      </c>
      <c r="F9" s="36" t="s">
        <v>552</v>
      </c>
    </row>
    <row r="10" spans="1:9" x14ac:dyDescent="0.25">
      <c r="A10" s="32" t="s">
        <v>205</v>
      </c>
      <c r="B10" s="100" t="s">
        <v>553</v>
      </c>
      <c r="C10" s="67"/>
      <c r="D10" s="67"/>
      <c r="E10" s="67"/>
      <c r="F10" s="68"/>
    </row>
    <row r="11" spans="1:9" ht="47.25" customHeight="1" x14ac:dyDescent="0.25">
      <c r="A11" s="32">
        <v>3</v>
      </c>
      <c r="B11" s="100" t="s">
        <v>554</v>
      </c>
      <c r="C11" s="68"/>
      <c r="D11" s="36" t="s">
        <v>555</v>
      </c>
      <c r="E11" s="36" t="s">
        <v>556</v>
      </c>
      <c r="F11" s="36" t="s">
        <v>557</v>
      </c>
    </row>
  </sheetData>
  <mergeCells count="8">
    <mergeCell ref="A2:I2"/>
    <mergeCell ref="B6:F6"/>
    <mergeCell ref="B7:C7"/>
    <mergeCell ref="B11:C11"/>
    <mergeCell ref="B5:C5"/>
    <mergeCell ref="B10:F10"/>
    <mergeCell ref="B8:F8"/>
    <mergeCell ref="B9:C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14" sqref="E14"/>
    </sheetView>
  </sheetViews>
  <sheetFormatPr defaultRowHeight="15.75" x14ac:dyDescent="0.25"/>
  <cols>
    <col min="1" max="1" width="5" style="59" customWidth="1"/>
    <col min="2" max="2" width="27.5703125" style="31" customWidth="1"/>
    <col min="3" max="3" width="20.85546875" style="31" customWidth="1"/>
    <col min="4" max="4" width="32.85546875" style="31" customWidth="1"/>
    <col min="5" max="5" width="40.28515625" style="31" customWidth="1"/>
    <col min="6" max="6" width="36.7109375" style="34" customWidth="1"/>
    <col min="7" max="7" width="22.85546875" style="34" customWidth="1"/>
    <col min="8" max="8" width="20.7109375" style="31" customWidth="1"/>
    <col min="9" max="9" width="9.140625" style="31" customWidth="1"/>
    <col min="10" max="16384" width="9.140625" style="31"/>
  </cols>
  <sheetData>
    <row r="1" spans="1:8" x14ac:dyDescent="0.25">
      <c r="A1" s="97" t="s">
        <v>558</v>
      </c>
      <c r="B1" s="99"/>
      <c r="C1" s="99"/>
      <c r="D1" s="99"/>
      <c r="E1" s="99"/>
      <c r="F1" s="98"/>
      <c r="G1" s="98"/>
      <c r="H1" s="99"/>
    </row>
    <row r="2" spans="1:8" x14ac:dyDescent="0.25">
      <c r="A2" s="48" t="s">
        <v>78</v>
      </c>
      <c r="B2" s="48"/>
      <c r="C2" s="42" t="s">
        <v>79</v>
      </c>
    </row>
    <row r="3" spans="1:8" x14ac:dyDescent="0.25">
      <c r="A3" s="48" t="s">
        <v>80</v>
      </c>
      <c r="B3" s="48"/>
      <c r="C3" s="42" t="s">
        <v>81</v>
      </c>
    </row>
    <row r="4" spans="1:8" x14ac:dyDescent="0.25">
      <c r="A4" s="48" t="s">
        <v>115</v>
      </c>
      <c r="B4" s="48"/>
      <c r="C4" s="42" t="s">
        <v>116</v>
      </c>
    </row>
    <row r="5" spans="1:8" x14ac:dyDescent="0.25">
      <c r="A5" s="45" t="s">
        <v>82</v>
      </c>
      <c r="B5" s="46"/>
      <c r="C5" s="47" t="s">
        <v>222</v>
      </c>
    </row>
    <row r="6" spans="1:8" s="33" customFormat="1" x14ac:dyDescent="0.25">
      <c r="A6" s="32" t="s">
        <v>84</v>
      </c>
      <c r="B6" s="32" t="s">
        <v>513</v>
      </c>
      <c r="C6" s="32" t="s">
        <v>449</v>
      </c>
      <c r="D6" s="32" t="s">
        <v>559</v>
      </c>
      <c r="E6" s="32" t="s">
        <v>560</v>
      </c>
      <c r="F6" s="35" t="s">
        <v>561</v>
      </c>
      <c r="G6" s="35" t="s">
        <v>542</v>
      </c>
      <c r="H6" s="32" t="s">
        <v>562</v>
      </c>
    </row>
    <row r="7" spans="1:8" ht="31.5" customHeight="1" x14ac:dyDescent="0.25">
      <c r="A7" s="32">
        <v>1</v>
      </c>
      <c r="B7" s="37" t="s">
        <v>563</v>
      </c>
      <c r="C7" s="37" t="s">
        <v>247</v>
      </c>
      <c r="D7" s="37" t="s">
        <v>564</v>
      </c>
      <c r="E7" s="37" t="s">
        <v>565</v>
      </c>
      <c r="F7" s="36" t="s">
        <v>566</v>
      </c>
      <c r="G7" s="36" t="s">
        <v>567</v>
      </c>
      <c r="H7" s="37" t="s">
        <v>568</v>
      </c>
    </row>
    <row r="8" spans="1:8" ht="31.5" customHeight="1" x14ac:dyDescent="0.25">
      <c r="A8" s="32">
        <v>2</v>
      </c>
      <c r="B8" s="37" t="s">
        <v>569</v>
      </c>
      <c r="C8" s="37" t="s">
        <v>255</v>
      </c>
      <c r="D8" s="37" t="s">
        <v>570</v>
      </c>
      <c r="E8" s="37" t="s">
        <v>571</v>
      </c>
      <c r="F8" s="36" t="s">
        <v>572</v>
      </c>
      <c r="G8" s="36" t="s">
        <v>567</v>
      </c>
      <c r="H8" s="37" t="s">
        <v>573</v>
      </c>
    </row>
    <row r="9" spans="1:8" ht="31.5" customHeight="1" x14ac:dyDescent="0.25">
      <c r="A9" s="32">
        <v>3</v>
      </c>
      <c r="B9" s="37" t="s">
        <v>574</v>
      </c>
      <c r="C9" s="37" t="s">
        <v>262</v>
      </c>
      <c r="D9" s="37" t="s">
        <v>575</v>
      </c>
      <c r="E9" s="37" t="s">
        <v>576</v>
      </c>
      <c r="F9" s="36" t="s">
        <v>577</v>
      </c>
      <c r="G9" s="36" t="s">
        <v>578</v>
      </c>
      <c r="H9" s="37" t="s">
        <v>579</v>
      </c>
    </row>
    <row r="10" spans="1:8" ht="31.5" customHeight="1" x14ac:dyDescent="0.25">
      <c r="A10" s="32">
        <v>4</v>
      </c>
      <c r="B10" s="37" t="s">
        <v>580</v>
      </c>
      <c r="C10" s="37" t="s">
        <v>270</v>
      </c>
      <c r="D10" s="37" t="s">
        <v>581</v>
      </c>
      <c r="E10" s="37" t="s">
        <v>582</v>
      </c>
      <c r="F10" s="36" t="s">
        <v>583</v>
      </c>
      <c r="G10" s="36" t="s">
        <v>271</v>
      </c>
      <c r="H10" s="37" t="s">
        <v>584</v>
      </c>
    </row>
    <row r="11" spans="1:8" ht="31.5" customHeight="1" x14ac:dyDescent="0.25">
      <c r="A11" s="32">
        <v>5</v>
      </c>
      <c r="B11" s="37" t="s">
        <v>585</v>
      </c>
      <c r="C11" s="37" t="s">
        <v>278</v>
      </c>
      <c r="D11" s="37" t="s">
        <v>586</v>
      </c>
      <c r="E11" s="37" t="s">
        <v>587</v>
      </c>
      <c r="F11" s="36" t="s">
        <v>588</v>
      </c>
      <c r="G11" s="36" t="s">
        <v>589</v>
      </c>
      <c r="H11" s="37" t="s">
        <v>557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1. Kuesioner CEE</vt:lpstr>
      <vt:lpstr>Form 2 Kondisi kerentanan</vt:lpstr>
      <vt:lpstr>Form 4. Konteks Strategis</vt:lpstr>
      <vt:lpstr>Form 5 Penetapan Konteks Resiko</vt:lpstr>
      <vt:lpstr>Form 6 Penetapan Konteks Risiko</vt:lpstr>
      <vt:lpstr>Form 7 Konteks Risiko OPD</vt:lpstr>
      <vt:lpstr>Form 8 Konteks Risiko OPD</vt:lpstr>
      <vt:lpstr>Form 9 Analisis Risiko</vt:lpstr>
      <vt:lpstr>Matriks Risiko 5x5</vt:lpstr>
      <vt:lpstr>Form 10 Risiko Prioritas </vt:lpstr>
      <vt:lpstr>Form 11 RTP Lingkungan CEE, 11</vt:lpstr>
      <vt:lpstr>Form 12 RTP Pengendalian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 SPIP DIKBUD TA 2026</dc:title>
  <dc:creator>Dinas Pendidikan dan Kebudayaan Kabupaten Pohuwato</dc:creator>
  <cp:lastModifiedBy>Riski</cp:lastModifiedBy>
  <dcterms:created xsi:type="dcterms:W3CDTF">2026-09-28T09:10:56Z</dcterms:created>
  <dcterms:modified xsi:type="dcterms:W3CDTF">2026-10-20T03:25:33Z</dcterms:modified>
</cp:coreProperties>
</file>